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camp\Devs\Dasic_Atlas_api\context\"/>
    </mc:Choice>
  </mc:AlternateContent>
  <xr:revisionPtr revIDLastSave="0" documentId="8_{E2740010-B89C-427B-A063-1B0B7053E58B}" xr6:coauthVersionLast="47" xr6:coauthVersionMax="47" xr10:uidLastSave="{00000000-0000-0000-0000-000000000000}"/>
  <bookViews>
    <workbookView xWindow="3465" yWindow="16080" windowWidth="29040" windowHeight="16440" activeTab="1" xr2:uid="{4308091A-8769-4C2A-8824-8EDA5F6EE676}"/>
  </bookViews>
  <sheets>
    <sheet name="CotProveedor" sheetId="1" r:id="rId1"/>
    <sheet name="Cot" sheetId="2" r:id="rId2"/>
    <sheet name="OC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" i="2" l="1"/>
  <c r="D7" i="2"/>
  <c r="D8" i="2"/>
  <c r="D10" i="2"/>
  <c r="F2" i="2"/>
  <c r="F3" i="2"/>
  <c r="F4" i="2"/>
  <c r="F5" i="2"/>
  <c r="F6" i="2"/>
  <c r="F7" i="2"/>
  <c r="F8" i="2"/>
  <c r="E2" i="2"/>
  <c r="E3" i="2"/>
  <c r="E4" i="2"/>
  <c r="E5" i="2"/>
  <c r="E6" i="2"/>
  <c r="E7" i="2"/>
  <c r="E8" i="2"/>
  <c r="B3" i="2"/>
  <c r="C3" i="2"/>
  <c r="D3" i="2"/>
  <c r="B4" i="2"/>
  <c r="C4" i="2"/>
  <c r="D4" i="2"/>
  <c r="B5" i="2"/>
  <c r="C5" i="2"/>
  <c r="D5" i="2"/>
  <c r="B6" i="2"/>
  <c r="C6" i="2"/>
  <c r="D6" i="2"/>
  <c r="B7" i="2"/>
  <c r="C7" i="2"/>
  <c r="B8" i="2"/>
  <c r="C8" i="2"/>
  <c r="B11" i="2"/>
  <c r="C11" i="2"/>
  <c r="D11" i="2"/>
  <c r="B12" i="2"/>
  <c r="C12" i="2"/>
  <c r="D12" i="2"/>
  <c r="B13" i="2"/>
  <c r="C13" i="2"/>
  <c r="D13" i="2"/>
  <c r="B14" i="2"/>
  <c r="C14" i="2"/>
  <c r="D14" i="2"/>
  <c r="B15" i="2"/>
  <c r="C15" i="2"/>
  <c r="D15" i="2"/>
  <c r="B16" i="2"/>
  <c r="C16" i="2"/>
  <c r="D16" i="2"/>
  <c r="B17" i="2"/>
  <c r="C17" i="2"/>
  <c r="D17" i="2"/>
  <c r="B18" i="2"/>
  <c r="C18" i="2"/>
  <c r="D18" i="2"/>
  <c r="B19" i="2"/>
  <c r="C19" i="2"/>
  <c r="D19" i="2"/>
  <c r="B20" i="2"/>
  <c r="C20" i="2"/>
  <c r="D20" i="2"/>
  <c r="B21" i="2"/>
  <c r="C21" i="2"/>
  <c r="D21" i="2"/>
  <c r="B22" i="2"/>
  <c r="C22" i="2"/>
  <c r="D22" i="2"/>
  <c r="B23" i="2"/>
  <c r="C23" i="2"/>
  <c r="D23" i="2"/>
  <c r="B24" i="2"/>
  <c r="C24" i="2"/>
  <c r="D24" i="2"/>
  <c r="B25" i="2"/>
  <c r="C25" i="2"/>
  <c r="D25" i="2"/>
  <c r="B26" i="2"/>
  <c r="C26" i="2"/>
  <c r="D26" i="2"/>
  <c r="B27" i="2"/>
  <c r="C27" i="2"/>
  <c r="D27" i="2"/>
  <c r="B28" i="2"/>
  <c r="C28" i="2"/>
  <c r="D28" i="2"/>
  <c r="B29" i="2"/>
  <c r="C29" i="2"/>
  <c r="D29" i="2"/>
  <c r="B30" i="2"/>
  <c r="C30" i="2"/>
  <c r="D30" i="2"/>
  <c r="B31" i="2"/>
  <c r="C31" i="2"/>
  <c r="D31" i="2"/>
  <c r="B32" i="2"/>
  <c r="C32" i="2"/>
  <c r="D32" i="2"/>
  <c r="B33" i="2"/>
  <c r="C33" i="2"/>
  <c r="D33" i="2"/>
  <c r="B34" i="2"/>
  <c r="C34" i="2"/>
  <c r="D34" i="2"/>
  <c r="B35" i="2"/>
  <c r="C35" i="2"/>
  <c r="D35" i="2"/>
  <c r="B36" i="2"/>
  <c r="C36" i="2"/>
  <c r="D36" i="2"/>
  <c r="B37" i="2"/>
  <c r="C37" i="2"/>
  <c r="D37" i="2"/>
  <c r="B38" i="2"/>
  <c r="C38" i="2"/>
  <c r="D38" i="2"/>
  <c r="B39" i="2"/>
  <c r="C39" i="2"/>
  <c r="D39" i="2"/>
  <c r="B40" i="2"/>
  <c r="C40" i="2"/>
  <c r="D40" i="2"/>
  <c r="B41" i="2"/>
  <c r="C41" i="2"/>
  <c r="D41" i="2"/>
  <c r="B42" i="2"/>
  <c r="C42" i="2"/>
  <c r="D42" i="2"/>
  <c r="B43" i="2"/>
  <c r="C43" i="2"/>
  <c r="D43" i="2"/>
  <c r="B44" i="2"/>
  <c r="C44" i="2"/>
  <c r="D44" i="2"/>
  <c r="B45" i="2"/>
  <c r="C45" i="2"/>
  <c r="D45" i="2"/>
  <c r="B46" i="2"/>
  <c r="C46" i="2"/>
  <c r="D46" i="2"/>
  <c r="B47" i="2"/>
  <c r="C47" i="2"/>
  <c r="D47" i="2"/>
  <c r="B48" i="2"/>
  <c r="C48" i="2"/>
  <c r="D48" i="2"/>
  <c r="B49" i="2"/>
  <c r="C49" i="2"/>
  <c r="D49" i="2"/>
  <c r="B50" i="2"/>
  <c r="C50" i="2"/>
  <c r="D50" i="2"/>
  <c r="B51" i="2"/>
  <c r="C51" i="2"/>
  <c r="D51" i="2"/>
  <c r="B52" i="2"/>
  <c r="C52" i="2"/>
  <c r="D52" i="2"/>
  <c r="B53" i="2"/>
  <c r="C53" i="2"/>
  <c r="D53" i="2"/>
  <c r="B54" i="2"/>
  <c r="C54" i="2"/>
  <c r="D54" i="2"/>
  <c r="B55" i="2"/>
  <c r="C55" i="2"/>
  <c r="D55" i="2"/>
  <c r="B56" i="2"/>
  <c r="C56" i="2"/>
  <c r="D56" i="2"/>
  <c r="B57" i="2"/>
  <c r="C57" i="2"/>
  <c r="D57" i="2"/>
  <c r="B58" i="2"/>
  <c r="C58" i="2"/>
  <c r="D58" i="2"/>
  <c r="B59" i="2"/>
  <c r="C59" i="2"/>
  <c r="D59" i="2"/>
  <c r="B60" i="2"/>
  <c r="C60" i="2"/>
  <c r="D60" i="2"/>
  <c r="B61" i="2"/>
  <c r="C61" i="2"/>
  <c r="D61" i="2"/>
  <c r="B62" i="2"/>
  <c r="C62" i="2"/>
  <c r="D62" i="2"/>
  <c r="B63" i="2"/>
  <c r="C63" i="2"/>
  <c r="D63" i="2"/>
  <c r="B64" i="2"/>
  <c r="C64" i="2"/>
  <c r="D64" i="2"/>
  <c r="B65" i="2"/>
  <c r="C65" i="2"/>
  <c r="D65" i="2"/>
  <c r="B66" i="2"/>
  <c r="C66" i="2"/>
  <c r="D66" i="2"/>
  <c r="B67" i="2"/>
  <c r="C67" i="2"/>
  <c r="D67" i="2"/>
  <c r="B68" i="2"/>
  <c r="C68" i="2"/>
  <c r="D68" i="2"/>
  <c r="B69" i="2"/>
  <c r="C69" i="2"/>
  <c r="D69" i="2"/>
  <c r="B70" i="2"/>
  <c r="C70" i="2"/>
  <c r="D70" i="2"/>
  <c r="B71" i="2"/>
  <c r="C71" i="2"/>
  <c r="D71" i="2"/>
  <c r="B72" i="2"/>
  <c r="C72" i="2"/>
  <c r="D72" i="2"/>
  <c r="B73" i="2"/>
  <c r="C73" i="2"/>
  <c r="D73" i="2"/>
  <c r="B74" i="2"/>
  <c r="C74" i="2"/>
  <c r="D74" i="2"/>
  <c r="B75" i="2"/>
  <c r="C75" i="2"/>
  <c r="D75" i="2"/>
  <c r="B76" i="2"/>
  <c r="C76" i="2"/>
  <c r="D76" i="2"/>
  <c r="B77" i="2"/>
  <c r="C77" i="2"/>
  <c r="D77" i="2"/>
  <c r="B78" i="2"/>
  <c r="C78" i="2"/>
  <c r="D78" i="2"/>
  <c r="B79" i="2"/>
  <c r="C79" i="2"/>
  <c r="D79" i="2"/>
  <c r="B80" i="2"/>
  <c r="C80" i="2"/>
  <c r="D80" i="2"/>
  <c r="B81" i="2"/>
  <c r="C81" i="2"/>
  <c r="D81" i="2"/>
  <c r="B82" i="2"/>
  <c r="C82" i="2"/>
  <c r="D82" i="2"/>
  <c r="B83" i="2"/>
  <c r="C83" i="2"/>
  <c r="D83" i="2"/>
  <c r="B84" i="2"/>
  <c r="C84" i="2"/>
  <c r="D84" i="2"/>
  <c r="B85" i="2"/>
  <c r="C85" i="2"/>
  <c r="D85" i="2"/>
  <c r="B86" i="2"/>
  <c r="C86" i="2"/>
  <c r="D86" i="2"/>
  <c r="B87" i="2"/>
  <c r="C87" i="2"/>
  <c r="D87" i="2"/>
  <c r="B88" i="2"/>
  <c r="C88" i="2"/>
  <c r="D88" i="2"/>
  <c r="B89" i="2"/>
  <c r="C89" i="2"/>
  <c r="D89" i="2"/>
  <c r="B90" i="2"/>
  <c r="C90" i="2"/>
  <c r="D90" i="2"/>
  <c r="B91" i="2"/>
  <c r="C91" i="2"/>
  <c r="D91" i="2"/>
  <c r="B92" i="2"/>
  <c r="C92" i="2"/>
  <c r="D92" i="2"/>
  <c r="B93" i="2"/>
  <c r="C93" i="2"/>
  <c r="D93" i="2"/>
  <c r="B94" i="2"/>
  <c r="C94" i="2"/>
  <c r="D94" i="2"/>
  <c r="B95" i="2"/>
  <c r="C95" i="2"/>
  <c r="D95" i="2"/>
  <c r="B96" i="2"/>
  <c r="C96" i="2"/>
  <c r="D96" i="2"/>
  <c r="B97" i="2"/>
  <c r="C97" i="2"/>
  <c r="D97" i="2"/>
  <c r="B98" i="2"/>
  <c r="C98" i="2"/>
  <c r="D98" i="2"/>
  <c r="B99" i="2"/>
  <c r="C99" i="2"/>
  <c r="D99" i="2"/>
  <c r="B100" i="2"/>
  <c r="C100" i="2"/>
  <c r="D100" i="2"/>
  <c r="B101" i="2"/>
  <c r="C101" i="2"/>
  <c r="D101" i="2"/>
  <c r="B102" i="2"/>
  <c r="C102" i="2"/>
  <c r="D102" i="2"/>
  <c r="B103" i="2"/>
  <c r="C103" i="2"/>
  <c r="D103" i="2"/>
  <c r="B104" i="2"/>
  <c r="C104" i="2"/>
  <c r="D104" i="2"/>
  <c r="B105" i="2"/>
  <c r="C105" i="2"/>
  <c r="D105" i="2"/>
  <c r="B106" i="2"/>
  <c r="C106" i="2"/>
  <c r="D106" i="2"/>
  <c r="B107" i="2"/>
  <c r="C107" i="2"/>
  <c r="D107" i="2"/>
  <c r="B108" i="2"/>
  <c r="C108" i="2"/>
  <c r="D108" i="2"/>
  <c r="F108" i="2" s="1"/>
  <c r="E108" i="2"/>
  <c r="B109" i="2"/>
  <c r="C109" i="2"/>
  <c r="D109" i="2"/>
  <c r="F109" i="2" s="1"/>
  <c r="E109" i="2"/>
  <c r="B110" i="2"/>
  <c r="C110" i="2"/>
  <c r="D110" i="2"/>
  <c r="E110" i="2"/>
  <c r="G7" i="1" a="1"/>
  <c r="G7" i="1" s="1"/>
  <c r="G8" i="1" a="1"/>
  <c r="G8" i="1" s="1"/>
  <c r="G9" i="1" a="1"/>
  <c r="G9" i="1" s="1"/>
  <c r="G10" i="1" a="1"/>
  <c r="G10" i="1" s="1"/>
  <c r="G11" i="1" a="1"/>
  <c r="G11" i="1" s="1"/>
  <c r="G12" i="1" a="1"/>
  <c r="G12" i="1" s="1"/>
  <c r="G13" i="1" a="1"/>
  <c r="G13" i="1" s="1"/>
  <c r="G14" i="1" a="1"/>
  <c r="G14" i="1" s="1"/>
  <c r="G15" i="1" a="1"/>
  <c r="G15" i="1" s="1"/>
  <c r="G16" i="1" a="1"/>
  <c r="G16" i="1" s="1"/>
  <c r="G17" i="1" a="1"/>
  <c r="G17" i="1" s="1"/>
  <c r="G18" i="1" a="1"/>
  <c r="G18" i="1" s="1"/>
  <c r="G19" i="1" a="1"/>
  <c r="G19" i="1" s="1"/>
  <c r="G20" i="1" a="1"/>
  <c r="G20" i="1" s="1"/>
  <c r="G21" i="1" a="1"/>
  <c r="G21" i="1" s="1"/>
  <c r="G22" i="1" a="1"/>
  <c r="G22" i="1" s="1"/>
  <c r="G23" i="1" a="1"/>
  <c r="G23" i="1" s="1"/>
  <c r="G24" i="1" a="1"/>
  <c r="G24" i="1" s="1"/>
  <c r="G25" i="1" a="1"/>
  <c r="G25" i="1" s="1"/>
  <c r="G26" i="1" a="1"/>
  <c r="G26" i="1" s="1"/>
  <c r="G27" i="1" a="1"/>
  <c r="G27" i="1" s="1"/>
  <c r="G28" i="1" a="1"/>
  <c r="G28" i="1" s="1"/>
  <c r="G29" i="1" a="1"/>
  <c r="G29" i="1" s="1"/>
  <c r="G30" i="1" a="1"/>
  <c r="G30" i="1" s="1"/>
  <c r="G31" i="1" a="1"/>
  <c r="G31" i="1" s="1"/>
  <c r="G32" i="1" a="1"/>
  <c r="G32" i="1" s="1"/>
  <c r="G33" i="1" a="1"/>
  <c r="G33" i="1" s="1"/>
  <c r="G34" i="1" a="1"/>
  <c r="G34" i="1" s="1"/>
  <c r="G35" i="1" a="1"/>
  <c r="G35" i="1" s="1"/>
  <c r="G36" i="1" a="1"/>
  <c r="G36" i="1" s="1"/>
  <c r="G37" i="1" a="1"/>
  <c r="G37" i="1" s="1"/>
  <c r="G38" i="1" a="1"/>
  <c r="G38" i="1" s="1"/>
  <c r="G39" i="1" a="1"/>
  <c r="G39" i="1" s="1"/>
  <c r="G40" i="1" a="1"/>
  <c r="G40" i="1" s="1"/>
  <c r="G41" i="1" a="1"/>
  <c r="G41" i="1" s="1"/>
  <c r="G42" i="1" a="1"/>
  <c r="G42" i="1" s="1"/>
  <c r="G43" i="1" a="1"/>
  <c r="G43" i="1" s="1"/>
  <c r="G44" i="1" a="1"/>
  <c r="G44" i="1" s="1"/>
  <c r="G45" i="1" a="1"/>
  <c r="G45" i="1" s="1"/>
  <c r="G46" i="1" a="1"/>
  <c r="G46" i="1" s="1"/>
  <c r="G47" i="1" a="1"/>
  <c r="G47" i="1" s="1"/>
  <c r="G48" i="1" a="1"/>
  <c r="G48" i="1" s="1"/>
  <c r="G49" i="1" a="1"/>
  <c r="G49" i="1" s="1"/>
  <c r="G50" i="1" a="1"/>
  <c r="G50" i="1" s="1"/>
  <c r="G51" i="1" a="1"/>
  <c r="G51" i="1" s="1"/>
  <c r="G52" i="1" a="1"/>
  <c r="G52" i="1" s="1"/>
  <c r="G53" i="1" a="1"/>
  <c r="G53" i="1" s="1"/>
  <c r="G54" i="1" a="1"/>
  <c r="G54" i="1" s="1"/>
  <c r="G55" i="1" a="1"/>
  <c r="G55" i="1" s="1"/>
  <c r="G56" i="1" a="1"/>
  <c r="G56" i="1" s="1"/>
  <c r="G57" i="1" a="1"/>
  <c r="G57" i="1" s="1"/>
  <c r="G58" i="1" a="1"/>
  <c r="G58" i="1" s="1"/>
  <c r="G59" i="1" a="1"/>
  <c r="G59" i="1" s="1"/>
  <c r="G60" i="1" a="1"/>
  <c r="G60" i="1" s="1"/>
  <c r="G61" i="1" a="1"/>
  <c r="G61" i="1" s="1"/>
  <c r="G62" i="1" a="1"/>
  <c r="G62" i="1" s="1"/>
  <c r="G63" i="1" a="1"/>
  <c r="G63" i="1" s="1"/>
  <c r="G64" i="1" a="1"/>
  <c r="G64" i="1" s="1"/>
  <c r="G65" i="1" a="1"/>
  <c r="G65" i="1" s="1"/>
  <c r="G66" i="1" a="1"/>
  <c r="G66" i="1" s="1"/>
  <c r="G67" i="1" a="1"/>
  <c r="G67" i="1" s="1"/>
  <c r="G68" i="1" a="1"/>
  <c r="G68" i="1" s="1"/>
  <c r="G69" i="1" a="1"/>
  <c r="G69" i="1" s="1"/>
  <c r="G70" i="1" a="1"/>
  <c r="G70" i="1" s="1"/>
  <c r="G71" i="1" a="1"/>
  <c r="G71" i="1" s="1"/>
  <c r="G72" i="1" a="1"/>
  <c r="G72" i="1" s="1"/>
  <c r="G73" i="1" a="1"/>
  <c r="G73" i="1" s="1"/>
  <c r="G74" i="1" a="1"/>
  <c r="G74" i="1" s="1"/>
  <c r="G75" i="1" a="1"/>
  <c r="G75" i="1" s="1"/>
  <c r="G76" i="1" a="1"/>
  <c r="G76" i="1" s="1"/>
  <c r="G77" i="1" a="1"/>
  <c r="G77" i="1" s="1"/>
  <c r="G78" i="1" a="1"/>
  <c r="G78" i="1" s="1"/>
  <c r="G79" i="1" a="1"/>
  <c r="G79" i="1" s="1"/>
  <c r="G80" i="1" a="1"/>
  <c r="G80" i="1" s="1"/>
  <c r="G81" i="1" a="1"/>
  <c r="G81" i="1" s="1"/>
  <c r="G82" i="1" a="1"/>
  <c r="G82" i="1" s="1"/>
  <c r="G83" i="1" a="1"/>
  <c r="G83" i="1" s="1"/>
  <c r="G84" i="1" a="1"/>
  <c r="G84" i="1" s="1"/>
  <c r="G85" i="1" a="1"/>
  <c r="G85" i="1" s="1"/>
  <c r="G86" i="1" a="1"/>
  <c r="G86" i="1" s="1"/>
  <c r="G87" i="1" a="1"/>
  <c r="G87" i="1" s="1"/>
  <c r="G88" i="1" a="1"/>
  <c r="G88" i="1" s="1"/>
  <c r="G89" i="1" a="1"/>
  <c r="G89" i="1" s="1"/>
  <c r="G90" i="1" a="1"/>
  <c r="G90" i="1" s="1"/>
  <c r="G91" i="1" a="1"/>
  <c r="G91" i="1" s="1"/>
  <c r="G92" i="1" a="1"/>
  <c r="G92" i="1" s="1"/>
  <c r="G93" i="1" a="1"/>
  <c r="G93" i="1" s="1"/>
  <c r="G94" i="1" a="1"/>
  <c r="G94" i="1" s="1"/>
  <c r="G95" i="1" a="1"/>
  <c r="G95" i="1" s="1"/>
  <c r="G96" i="1" a="1"/>
  <c r="G96" i="1" s="1"/>
  <c r="G97" i="1" a="1"/>
  <c r="G97" i="1" s="1"/>
  <c r="G98" i="1" a="1"/>
  <c r="G98" i="1" s="1"/>
  <c r="G99" i="1" a="1"/>
  <c r="G99" i="1" s="1"/>
  <c r="G100" i="1" a="1"/>
  <c r="G100" i="1" s="1"/>
  <c r="G101" i="1" a="1"/>
  <c r="G101" i="1" s="1"/>
  <c r="G102" i="1" a="1"/>
  <c r="G102" i="1" s="1"/>
  <c r="G103" i="1" a="1"/>
  <c r="G103" i="1" s="1"/>
  <c r="G104" i="1" a="1"/>
  <c r="G104" i="1" s="1"/>
  <c r="G105" i="1" a="1"/>
  <c r="G105" i="1" s="1"/>
  <c r="G106" i="1" a="1"/>
  <c r="G106" i="1" s="1"/>
  <c r="I106" i="1" s="1"/>
  <c r="E102" i="3" s="1"/>
  <c r="G107" i="1" a="1"/>
  <c r="G107" i="1" s="1"/>
  <c r="I107" i="1" s="1"/>
  <c r="E103" i="3" s="1"/>
  <c r="G108" i="1" a="1"/>
  <c r="G108" i="1" s="1"/>
  <c r="I108" i="1" s="1"/>
  <c r="E104" i="3" s="1"/>
  <c r="G109" i="1" a="1"/>
  <c r="G109" i="1" s="1"/>
  <c r="I109" i="1" s="1"/>
  <c r="E105" i="3" s="1"/>
  <c r="G110" i="1" a="1"/>
  <c r="G110" i="1" s="1"/>
  <c r="I110" i="1" s="1"/>
  <c r="E106" i="3" s="1"/>
  <c r="G111" i="1" a="1"/>
  <c r="G111" i="1" s="1"/>
  <c r="I111" i="1" s="1"/>
  <c r="E107" i="3" s="1"/>
  <c r="B3" i="3"/>
  <c r="C3" i="3"/>
  <c r="D3" i="3"/>
  <c r="B4" i="3"/>
  <c r="C4" i="3"/>
  <c r="D4" i="3"/>
  <c r="B5" i="3"/>
  <c r="C5" i="3"/>
  <c r="D5" i="3"/>
  <c r="B6" i="3"/>
  <c r="C6" i="3"/>
  <c r="D6" i="3"/>
  <c r="B7" i="3"/>
  <c r="C7" i="3"/>
  <c r="D7" i="3"/>
  <c r="B8" i="3"/>
  <c r="C8" i="3"/>
  <c r="D8" i="3"/>
  <c r="B9" i="3"/>
  <c r="C9" i="3"/>
  <c r="D9" i="3"/>
  <c r="B10" i="3"/>
  <c r="C10" i="3"/>
  <c r="D10" i="3"/>
  <c r="B11" i="3"/>
  <c r="C11" i="3"/>
  <c r="D11" i="3"/>
  <c r="B12" i="3"/>
  <c r="C12" i="3"/>
  <c r="D12" i="3"/>
  <c r="B13" i="3"/>
  <c r="C13" i="3"/>
  <c r="D13" i="3"/>
  <c r="B14" i="3"/>
  <c r="C14" i="3"/>
  <c r="D14" i="3"/>
  <c r="B15" i="3"/>
  <c r="C15" i="3"/>
  <c r="D15" i="3"/>
  <c r="B16" i="3"/>
  <c r="C16" i="3"/>
  <c r="D16" i="3"/>
  <c r="B17" i="3"/>
  <c r="C17" i="3"/>
  <c r="D17" i="3"/>
  <c r="B18" i="3"/>
  <c r="C18" i="3"/>
  <c r="D18" i="3"/>
  <c r="B19" i="3"/>
  <c r="C19" i="3"/>
  <c r="D19" i="3"/>
  <c r="B20" i="3"/>
  <c r="C20" i="3"/>
  <c r="D20" i="3"/>
  <c r="B21" i="3"/>
  <c r="C21" i="3"/>
  <c r="D21" i="3"/>
  <c r="B22" i="3"/>
  <c r="C22" i="3"/>
  <c r="D22" i="3"/>
  <c r="B23" i="3"/>
  <c r="C23" i="3"/>
  <c r="D23" i="3"/>
  <c r="B24" i="3"/>
  <c r="C24" i="3"/>
  <c r="D24" i="3"/>
  <c r="B25" i="3"/>
  <c r="C25" i="3"/>
  <c r="D25" i="3"/>
  <c r="B26" i="3"/>
  <c r="C26" i="3"/>
  <c r="D26" i="3"/>
  <c r="B27" i="3"/>
  <c r="C27" i="3"/>
  <c r="D27" i="3"/>
  <c r="B28" i="3"/>
  <c r="C28" i="3"/>
  <c r="D28" i="3"/>
  <c r="B29" i="3"/>
  <c r="C29" i="3"/>
  <c r="D29" i="3"/>
  <c r="B30" i="3"/>
  <c r="C30" i="3"/>
  <c r="D30" i="3"/>
  <c r="B31" i="3"/>
  <c r="C31" i="3"/>
  <c r="D31" i="3"/>
  <c r="B32" i="3"/>
  <c r="C32" i="3"/>
  <c r="D32" i="3"/>
  <c r="B33" i="3"/>
  <c r="C33" i="3"/>
  <c r="D33" i="3"/>
  <c r="B34" i="3"/>
  <c r="C34" i="3"/>
  <c r="D34" i="3"/>
  <c r="B35" i="3"/>
  <c r="C35" i="3"/>
  <c r="D35" i="3"/>
  <c r="B36" i="3"/>
  <c r="C36" i="3"/>
  <c r="D36" i="3"/>
  <c r="B37" i="3"/>
  <c r="C37" i="3"/>
  <c r="D37" i="3"/>
  <c r="B38" i="3"/>
  <c r="C38" i="3"/>
  <c r="D38" i="3"/>
  <c r="B39" i="3"/>
  <c r="C39" i="3"/>
  <c r="D39" i="3"/>
  <c r="B40" i="3"/>
  <c r="C40" i="3"/>
  <c r="D40" i="3"/>
  <c r="B41" i="3"/>
  <c r="C41" i="3"/>
  <c r="D41" i="3"/>
  <c r="B42" i="3"/>
  <c r="C42" i="3"/>
  <c r="D42" i="3"/>
  <c r="B43" i="3"/>
  <c r="C43" i="3"/>
  <c r="D43" i="3"/>
  <c r="B44" i="3"/>
  <c r="C44" i="3"/>
  <c r="D44" i="3"/>
  <c r="B45" i="3"/>
  <c r="C45" i="3"/>
  <c r="D45" i="3"/>
  <c r="B46" i="3"/>
  <c r="C46" i="3"/>
  <c r="D46" i="3"/>
  <c r="B47" i="3"/>
  <c r="C47" i="3"/>
  <c r="D47" i="3"/>
  <c r="B48" i="3"/>
  <c r="C48" i="3"/>
  <c r="D48" i="3"/>
  <c r="B49" i="3"/>
  <c r="C49" i="3"/>
  <c r="D49" i="3"/>
  <c r="B50" i="3"/>
  <c r="C50" i="3"/>
  <c r="D50" i="3"/>
  <c r="B51" i="3"/>
  <c r="C51" i="3"/>
  <c r="D51" i="3"/>
  <c r="B52" i="3"/>
  <c r="C52" i="3"/>
  <c r="D52" i="3"/>
  <c r="B53" i="3"/>
  <c r="C53" i="3"/>
  <c r="D53" i="3"/>
  <c r="B54" i="3"/>
  <c r="C54" i="3"/>
  <c r="D54" i="3"/>
  <c r="B55" i="3"/>
  <c r="C55" i="3"/>
  <c r="D55" i="3"/>
  <c r="B56" i="3"/>
  <c r="C56" i="3"/>
  <c r="D56" i="3"/>
  <c r="B57" i="3"/>
  <c r="C57" i="3"/>
  <c r="D57" i="3"/>
  <c r="B58" i="3"/>
  <c r="C58" i="3"/>
  <c r="D58" i="3"/>
  <c r="B59" i="3"/>
  <c r="C59" i="3"/>
  <c r="D59" i="3"/>
  <c r="B60" i="3"/>
  <c r="C60" i="3"/>
  <c r="D60" i="3"/>
  <c r="B61" i="3"/>
  <c r="C61" i="3"/>
  <c r="D61" i="3"/>
  <c r="B62" i="3"/>
  <c r="C62" i="3"/>
  <c r="D62" i="3"/>
  <c r="B63" i="3"/>
  <c r="C63" i="3"/>
  <c r="D63" i="3"/>
  <c r="B64" i="3"/>
  <c r="C64" i="3"/>
  <c r="D64" i="3"/>
  <c r="B65" i="3"/>
  <c r="C65" i="3"/>
  <c r="D65" i="3"/>
  <c r="B66" i="3"/>
  <c r="C66" i="3"/>
  <c r="D66" i="3"/>
  <c r="B67" i="3"/>
  <c r="C67" i="3"/>
  <c r="D67" i="3"/>
  <c r="B68" i="3"/>
  <c r="C68" i="3"/>
  <c r="D68" i="3"/>
  <c r="B69" i="3"/>
  <c r="C69" i="3"/>
  <c r="D69" i="3"/>
  <c r="B70" i="3"/>
  <c r="C70" i="3"/>
  <c r="D70" i="3"/>
  <c r="B71" i="3"/>
  <c r="C71" i="3"/>
  <c r="D71" i="3"/>
  <c r="B72" i="3"/>
  <c r="C72" i="3"/>
  <c r="D72" i="3"/>
  <c r="B73" i="3"/>
  <c r="C73" i="3"/>
  <c r="D73" i="3"/>
  <c r="B74" i="3"/>
  <c r="C74" i="3"/>
  <c r="D74" i="3"/>
  <c r="B75" i="3"/>
  <c r="C75" i="3"/>
  <c r="D75" i="3"/>
  <c r="B76" i="3"/>
  <c r="C76" i="3"/>
  <c r="D76" i="3"/>
  <c r="B77" i="3"/>
  <c r="C77" i="3"/>
  <c r="D77" i="3"/>
  <c r="B78" i="3"/>
  <c r="C78" i="3"/>
  <c r="D78" i="3"/>
  <c r="B79" i="3"/>
  <c r="C79" i="3"/>
  <c r="D79" i="3"/>
  <c r="B80" i="3"/>
  <c r="C80" i="3"/>
  <c r="D80" i="3"/>
  <c r="B81" i="3"/>
  <c r="C81" i="3"/>
  <c r="D81" i="3"/>
  <c r="B82" i="3"/>
  <c r="C82" i="3"/>
  <c r="D82" i="3"/>
  <c r="B83" i="3"/>
  <c r="C83" i="3"/>
  <c r="D83" i="3"/>
  <c r="B84" i="3"/>
  <c r="C84" i="3"/>
  <c r="D84" i="3"/>
  <c r="B85" i="3"/>
  <c r="C85" i="3"/>
  <c r="D85" i="3"/>
  <c r="B86" i="3"/>
  <c r="C86" i="3"/>
  <c r="D86" i="3"/>
  <c r="B87" i="3"/>
  <c r="C87" i="3"/>
  <c r="D87" i="3"/>
  <c r="B88" i="3"/>
  <c r="C88" i="3"/>
  <c r="D88" i="3"/>
  <c r="B89" i="3"/>
  <c r="C89" i="3"/>
  <c r="D89" i="3"/>
  <c r="B90" i="3"/>
  <c r="C90" i="3"/>
  <c r="D90" i="3"/>
  <c r="B91" i="3"/>
  <c r="C91" i="3"/>
  <c r="D91" i="3"/>
  <c r="B92" i="3"/>
  <c r="C92" i="3"/>
  <c r="D92" i="3"/>
  <c r="B93" i="3"/>
  <c r="C93" i="3"/>
  <c r="D93" i="3"/>
  <c r="B94" i="3"/>
  <c r="C94" i="3"/>
  <c r="D94" i="3"/>
  <c r="B95" i="3"/>
  <c r="C95" i="3"/>
  <c r="D95" i="3"/>
  <c r="B96" i="3"/>
  <c r="C96" i="3"/>
  <c r="D96" i="3"/>
  <c r="B97" i="3"/>
  <c r="C97" i="3"/>
  <c r="D97" i="3"/>
  <c r="B98" i="3"/>
  <c r="C98" i="3"/>
  <c r="D98" i="3"/>
  <c r="B99" i="3"/>
  <c r="C99" i="3"/>
  <c r="D99" i="3"/>
  <c r="B100" i="3"/>
  <c r="C100" i="3"/>
  <c r="D100" i="3"/>
  <c r="B101" i="3"/>
  <c r="C101" i="3"/>
  <c r="D101" i="3"/>
  <c r="B102" i="3"/>
  <c r="C102" i="3"/>
  <c r="D102" i="3"/>
  <c r="B103" i="3"/>
  <c r="C103" i="3"/>
  <c r="D103" i="3"/>
  <c r="B104" i="3"/>
  <c r="C104" i="3"/>
  <c r="D104" i="3"/>
  <c r="B105" i="3"/>
  <c r="C105" i="3"/>
  <c r="D105" i="3"/>
  <c r="B106" i="3"/>
  <c r="C106" i="3"/>
  <c r="D106" i="3"/>
  <c r="B107" i="3"/>
  <c r="C107" i="3"/>
  <c r="D107" i="3"/>
  <c r="B108" i="3"/>
  <c r="C108" i="3"/>
  <c r="D108" i="3"/>
  <c r="E108" i="3"/>
  <c r="B109" i="3"/>
  <c r="C109" i="3"/>
  <c r="D109" i="3"/>
  <c r="E109" i="3"/>
  <c r="B110" i="3"/>
  <c r="C110" i="3"/>
  <c r="D110" i="3"/>
  <c r="F110" i="3" s="1"/>
  <c r="E110" i="3"/>
  <c r="B111" i="3"/>
  <c r="C111" i="3"/>
  <c r="D111" i="3"/>
  <c r="E111" i="3"/>
  <c r="E2" i="1"/>
  <c r="E3" i="1"/>
  <c r="G6" i="1" a="1"/>
  <c r="G6" i="1" s="1"/>
  <c r="C2" i="2"/>
  <c r="B2" i="3"/>
  <c r="C2" i="3"/>
  <c r="D2" i="3"/>
  <c r="F110" i="2" l="1"/>
  <c r="F109" i="3"/>
  <c r="F106" i="3"/>
  <c r="F107" i="3"/>
  <c r="F104" i="3"/>
  <c r="F108" i="3"/>
  <c r="F111" i="3"/>
  <c r="F102" i="3"/>
  <c r="F103" i="3"/>
  <c r="F105" i="3"/>
  <c r="F109" i="1" a="1"/>
  <c r="F109" i="1" s="1"/>
  <c r="K109" i="1" s="1"/>
  <c r="E105" i="2" s="1"/>
  <c r="F105" i="2" s="1"/>
  <c r="F108" i="1" a="1"/>
  <c r="F108" i="1" s="1"/>
  <c r="K108" i="1" s="1"/>
  <c r="E104" i="2" s="1"/>
  <c r="F104" i="2" s="1"/>
  <c r="F107" i="1" a="1"/>
  <c r="F107" i="1" s="1"/>
  <c r="K107" i="1" s="1"/>
  <c r="E103" i="2" s="1"/>
  <c r="F103" i="2" s="1"/>
  <c r="F110" i="1" a="1"/>
  <c r="F110" i="1" s="1"/>
  <c r="K110" i="1" s="1"/>
  <c r="E106" i="2" s="1"/>
  <c r="F106" i="2" s="1"/>
  <c r="F111" i="1" a="1"/>
  <c r="F111" i="1" s="1"/>
  <c r="K111" i="1" s="1"/>
  <c r="E107" i="2" s="1"/>
  <c r="F107" i="2" s="1"/>
  <c r="F106" i="1" a="1"/>
  <c r="F106" i="1" s="1"/>
  <c r="K106" i="1" s="1"/>
  <c r="E102" i="2" s="1"/>
  <c r="F102" i="2" s="1"/>
  <c r="D2" i="2"/>
  <c r="F7" i="1" a="1"/>
  <c r="F7" i="1" s="1"/>
  <c r="K7" i="1" s="1"/>
  <c r="I7" i="1"/>
  <c r="E3" i="3" s="1"/>
  <c r="F3" i="3" s="1"/>
  <c r="F8" i="1" a="1"/>
  <c r="F8" i="1" s="1"/>
  <c r="K8" i="1" s="1"/>
  <c r="I8" i="1"/>
  <c r="E4" i="3" s="1"/>
  <c r="F4" i="3" s="1"/>
  <c r="F9" i="1" a="1"/>
  <c r="F9" i="1" s="1"/>
  <c r="K9" i="1" s="1"/>
  <c r="I9" i="1"/>
  <c r="E5" i="3" s="1"/>
  <c r="F5" i="3" s="1"/>
  <c r="F10" i="1" a="1"/>
  <c r="F10" i="1" s="1"/>
  <c r="K10" i="1" s="1"/>
  <c r="I10" i="1"/>
  <c r="E6" i="3" s="1"/>
  <c r="F6" i="3" s="1"/>
  <c r="F11" i="1" a="1"/>
  <c r="F11" i="1" s="1"/>
  <c r="K11" i="1" s="1"/>
  <c r="I11" i="1"/>
  <c r="E7" i="3" s="1"/>
  <c r="F7" i="3" s="1"/>
  <c r="F12" i="1" a="1"/>
  <c r="F12" i="1" s="1"/>
  <c r="K12" i="1" s="1"/>
  <c r="I12" i="1"/>
  <c r="E8" i="3" s="1"/>
  <c r="F8" i="3" s="1"/>
  <c r="F13" i="1" a="1"/>
  <c r="F13" i="1" s="1"/>
  <c r="K13" i="1" s="1"/>
  <c r="I13" i="1"/>
  <c r="E9" i="3" s="1"/>
  <c r="F9" i="3" s="1"/>
  <c r="F14" i="1" a="1"/>
  <c r="F14" i="1" s="1"/>
  <c r="K14" i="1" s="1"/>
  <c r="I14" i="1"/>
  <c r="E10" i="3" s="1"/>
  <c r="F10" i="3" s="1"/>
  <c r="F15" i="1" a="1"/>
  <c r="F15" i="1" s="1"/>
  <c r="K15" i="1" s="1"/>
  <c r="E11" i="2" s="1"/>
  <c r="F11" i="2" s="1"/>
  <c r="I15" i="1"/>
  <c r="E11" i="3" s="1"/>
  <c r="F11" i="3" s="1"/>
  <c r="F16" i="1" a="1"/>
  <c r="F16" i="1" s="1"/>
  <c r="K16" i="1" s="1"/>
  <c r="E12" i="2" s="1"/>
  <c r="F12" i="2" s="1"/>
  <c r="I16" i="1"/>
  <c r="E12" i="3" s="1"/>
  <c r="F12" i="3" s="1"/>
  <c r="F17" i="1" a="1"/>
  <c r="F17" i="1" s="1"/>
  <c r="K17" i="1" s="1"/>
  <c r="E13" i="2" s="1"/>
  <c r="F13" i="2" s="1"/>
  <c r="I17" i="1"/>
  <c r="E13" i="3" s="1"/>
  <c r="F13" i="3" s="1"/>
  <c r="F18" i="1" a="1"/>
  <c r="F18" i="1" s="1"/>
  <c r="K18" i="1" s="1"/>
  <c r="E14" i="2" s="1"/>
  <c r="F14" i="2" s="1"/>
  <c r="I18" i="1"/>
  <c r="E14" i="3" s="1"/>
  <c r="F14" i="3" s="1"/>
  <c r="F19" i="1" a="1"/>
  <c r="F19" i="1" s="1"/>
  <c r="K19" i="1" s="1"/>
  <c r="E15" i="2" s="1"/>
  <c r="F15" i="2" s="1"/>
  <c r="I19" i="1"/>
  <c r="E15" i="3" s="1"/>
  <c r="F15" i="3" s="1"/>
  <c r="F20" i="1" a="1"/>
  <c r="F20" i="1" s="1"/>
  <c r="K20" i="1" s="1"/>
  <c r="E16" i="2" s="1"/>
  <c r="F16" i="2" s="1"/>
  <c r="I20" i="1"/>
  <c r="E16" i="3" s="1"/>
  <c r="F16" i="3" s="1"/>
  <c r="F21" i="1" a="1"/>
  <c r="F21" i="1" s="1"/>
  <c r="K21" i="1" s="1"/>
  <c r="E17" i="2" s="1"/>
  <c r="F17" i="2" s="1"/>
  <c r="I21" i="1"/>
  <c r="E17" i="3" s="1"/>
  <c r="F17" i="3" s="1"/>
  <c r="F22" i="1" a="1"/>
  <c r="F22" i="1" s="1"/>
  <c r="K22" i="1" s="1"/>
  <c r="E18" i="2" s="1"/>
  <c r="F18" i="2" s="1"/>
  <c r="I22" i="1"/>
  <c r="E18" i="3" s="1"/>
  <c r="F18" i="3" s="1"/>
  <c r="F23" i="1" a="1"/>
  <c r="F23" i="1" s="1"/>
  <c r="K23" i="1" s="1"/>
  <c r="E19" i="2" s="1"/>
  <c r="F19" i="2" s="1"/>
  <c r="I23" i="1"/>
  <c r="E19" i="3" s="1"/>
  <c r="F19" i="3" s="1"/>
  <c r="F24" i="1" a="1"/>
  <c r="F24" i="1" s="1"/>
  <c r="K24" i="1" s="1"/>
  <c r="E20" i="2" s="1"/>
  <c r="F20" i="2" s="1"/>
  <c r="I24" i="1"/>
  <c r="E20" i="3" s="1"/>
  <c r="F20" i="3" s="1"/>
  <c r="F25" i="1" a="1"/>
  <c r="F25" i="1" s="1"/>
  <c r="K25" i="1" s="1"/>
  <c r="E21" i="2" s="1"/>
  <c r="F21" i="2" s="1"/>
  <c r="I25" i="1"/>
  <c r="E21" i="3" s="1"/>
  <c r="F21" i="3" s="1"/>
  <c r="F26" i="1" a="1"/>
  <c r="F26" i="1" s="1"/>
  <c r="K26" i="1" s="1"/>
  <c r="E22" i="2" s="1"/>
  <c r="F22" i="2" s="1"/>
  <c r="I26" i="1"/>
  <c r="E22" i="3" s="1"/>
  <c r="F22" i="3" s="1"/>
  <c r="F27" i="1" a="1"/>
  <c r="F27" i="1" s="1"/>
  <c r="K27" i="1" s="1"/>
  <c r="E23" i="2" s="1"/>
  <c r="F23" i="2" s="1"/>
  <c r="I27" i="1"/>
  <c r="E23" i="3" s="1"/>
  <c r="F23" i="3" s="1"/>
  <c r="F28" i="1" a="1"/>
  <c r="F28" i="1" s="1"/>
  <c r="K28" i="1" s="1"/>
  <c r="E24" i="2" s="1"/>
  <c r="F24" i="2" s="1"/>
  <c r="I28" i="1"/>
  <c r="E24" i="3" s="1"/>
  <c r="F24" i="3" s="1"/>
  <c r="F29" i="1" a="1"/>
  <c r="F29" i="1" s="1"/>
  <c r="K29" i="1" s="1"/>
  <c r="E25" i="2" s="1"/>
  <c r="F25" i="2" s="1"/>
  <c r="I29" i="1"/>
  <c r="E25" i="3" s="1"/>
  <c r="F25" i="3" s="1"/>
  <c r="F30" i="1" a="1"/>
  <c r="F30" i="1" s="1"/>
  <c r="K30" i="1" s="1"/>
  <c r="E26" i="2" s="1"/>
  <c r="F26" i="2" s="1"/>
  <c r="I30" i="1"/>
  <c r="E26" i="3" s="1"/>
  <c r="F26" i="3" s="1"/>
  <c r="F31" i="1" a="1"/>
  <c r="F31" i="1" s="1"/>
  <c r="K31" i="1" s="1"/>
  <c r="E27" i="2" s="1"/>
  <c r="F27" i="2" s="1"/>
  <c r="I31" i="1"/>
  <c r="E27" i="3" s="1"/>
  <c r="F27" i="3" s="1"/>
  <c r="F32" i="1" a="1"/>
  <c r="F32" i="1" s="1"/>
  <c r="K32" i="1" s="1"/>
  <c r="E28" i="2" s="1"/>
  <c r="F28" i="2" s="1"/>
  <c r="I32" i="1"/>
  <c r="E28" i="3" s="1"/>
  <c r="F28" i="3" s="1"/>
  <c r="F33" i="1" a="1"/>
  <c r="F33" i="1" s="1"/>
  <c r="K33" i="1" s="1"/>
  <c r="E29" i="2" s="1"/>
  <c r="F29" i="2" s="1"/>
  <c r="I33" i="1"/>
  <c r="E29" i="3" s="1"/>
  <c r="F29" i="3" s="1"/>
  <c r="F34" i="1" a="1"/>
  <c r="F34" i="1" s="1"/>
  <c r="K34" i="1" s="1"/>
  <c r="E30" i="2" s="1"/>
  <c r="F30" i="2" s="1"/>
  <c r="I34" i="1"/>
  <c r="E30" i="3" s="1"/>
  <c r="F30" i="3" s="1"/>
  <c r="F35" i="1" a="1"/>
  <c r="F35" i="1" s="1"/>
  <c r="K35" i="1" s="1"/>
  <c r="E31" i="2" s="1"/>
  <c r="F31" i="2" s="1"/>
  <c r="I35" i="1"/>
  <c r="E31" i="3" s="1"/>
  <c r="F31" i="3" s="1"/>
  <c r="F36" i="1" a="1"/>
  <c r="F36" i="1" s="1"/>
  <c r="K36" i="1" s="1"/>
  <c r="E32" i="2" s="1"/>
  <c r="F32" i="2" s="1"/>
  <c r="I36" i="1"/>
  <c r="E32" i="3" s="1"/>
  <c r="F32" i="3" s="1"/>
  <c r="F37" i="1" a="1"/>
  <c r="F37" i="1" s="1"/>
  <c r="K37" i="1" s="1"/>
  <c r="E33" i="2" s="1"/>
  <c r="F33" i="2" s="1"/>
  <c r="I37" i="1"/>
  <c r="E33" i="3" s="1"/>
  <c r="F33" i="3" s="1"/>
  <c r="F38" i="1" a="1"/>
  <c r="F38" i="1" s="1"/>
  <c r="K38" i="1" s="1"/>
  <c r="E34" i="2" s="1"/>
  <c r="F34" i="2" s="1"/>
  <c r="I38" i="1"/>
  <c r="E34" i="3" s="1"/>
  <c r="F34" i="3" s="1"/>
  <c r="F39" i="1" a="1"/>
  <c r="F39" i="1" s="1"/>
  <c r="K39" i="1" s="1"/>
  <c r="E35" i="2" s="1"/>
  <c r="F35" i="2" s="1"/>
  <c r="I39" i="1"/>
  <c r="E35" i="3" s="1"/>
  <c r="F35" i="3" s="1"/>
  <c r="F40" i="1" a="1"/>
  <c r="F40" i="1" s="1"/>
  <c r="K40" i="1" s="1"/>
  <c r="E36" i="2" s="1"/>
  <c r="F36" i="2" s="1"/>
  <c r="I40" i="1"/>
  <c r="E36" i="3" s="1"/>
  <c r="F36" i="3" s="1"/>
  <c r="F41" i="1" a="1"/>
  <c r="F41" i="1" s="1"/>
  <c r="K41" i="1" s="1"/>
  <c r="E37" i="2" s="1"/>
  <c r="F37" i="2" s="1"/>
  <c r="I41" i="1"/>
  <c r="E37" i="3" s="1"/>
  <c r="F37" i="3" s="1"/>
  <c r="F42" i="1" a="1"/>
  <c r="F42" i="1" s="1"/>
  <c r="K42" i="1" s="1"/>
  <c r="E38" i="2" s="1"/>
  <c r="F38" i="2" s="1"/>
  <c r="I42" i="1"/>
  <c r="E38" i="3" s="1"/>
  <c r="F38" i="3" s="1"/>
  <c r="F43" i="1" a="1"/>
  <c r="F43" i="1" s="1"/>
  <c r="K43" i="1" s="1"/>
  <c r="E39" i="2" s="1"/>
  <c r="F39" i="2" s="1"/>
  <c r="I43" i="1"/>
  <c r="E39" i="3" s="1"/>
  <c r="F39" i="3" s="1"/>
  <c r="F44" i="1" a="1"/>
  <c r="F44" i="1" s="1"/>
  <c r="K44" i="1" s="1"/>
  <c r="E40" i="2" s="1"/>
  <c r="F40" i="2" s="1"/>
  <c r="I44" i="1"/>
  <c r="E40" i="3" s="1"/>
  <c r="F40" i="3" s="1"/>
  <c r="F45" i="1" a="1"/>
  <c r="F45" i="1" s="1"/>
  <c r="K45" i="1" s="1"/>
  <c r="E41" i="2" s="1"/>
  <c r="F41" i="2" s="1"/>
  <c r="I45" i="1"/>
  <c r="E41" i="3" s="1"/>
  <c r="F41" i="3" s="1"/>
  <c r="F46" i="1" a="1"/>
  <c r="F46" i="1" s="1"/>
  <c r="K46" i="1" s="1"/>
  <c r="E42" i="2" s="1"/>
  <c r="F42" i="2" s="1"/>
  <c r="I46" i="1"/>
  <c r="E42" i="3" s="1"/>
  <c r="F42" i="3" s="1"/>
  <c r="F47" i="1" a="1"/>
  <c r="F47" i="1" s="1"/>
  <c r="K47" i="1" s="1"/>
  <c r="E43" i="2" s="1"/>
  <c r="F43" i="2" s="1"/>
  <c r="I47" i="1"/>
  <c r="E43" i="3" s="1"/>
  <c r="F43" i="3" s="1"/>
  <c r="F48" i="1" a="1"/>
  <c r="F48" i="1" s="1"/>
  <c r="K48" i="1" s="1"/>
  <c r="E44" i="2" s="1"/>
  <c r="F44" i="2" s="1"/>
  <c r="I48" i="1"/>
  <c r="E44" i="3" s="1"/>
  <c r="F44" i="3" s="1"/>
  <c r="F49" i="1" a="1"/>
  <c r="F49" i="1" s="1"/>
  <c r="K49" i="1" s="1"/>
  <c r="E45" i="2" s="1"/>
  <c r="F45" i="2" s="1"/>
  <c r="I49" i="1"/>
  <c r="E45" i="3" s="1"/>
  <c r="F45" i="3" s="1"/>
  <c r="F50" i="1" a="1"/>
  <c r="F50" i="1" s="1"/>
  <c r="K50" i="1" s="1"/>
  <c r="E46" i="2" s="1"/>
  <c r="F46" i="2" s="1"/>
  <c r="I50" i="1"/>
  <c r="E46" i="3" s="1"/>
  <c r="F46" i="3" s="1"/>
  <c r="F51" i="1" a="1"/>
  <c r="F51" i="1" s="1"/>
  <c r="K51" i="1" s="1"/>
  <c r="E47" i="2" s="1"/>
  <c r="F47" i="2" s="1"/>
  <c r="I51" i="1"/>
  <c r="E47" i="3" s="1"/>
  <c r="F47" i="3" s="1"/>
  <c r="F52" i="1" a="1"/>
  <c r="F52" i="1" s="1"/>
  <c r="K52" i="1" s="1"/>
  <c r="E48" i="2" s="1"/>
  <c r="F48" i="2" s="1"/>
  <c r="I52" i="1"/>
  <c r="E48" i="3" s="1"/>
  <c r="F48" i="3" s="1"/>
  <c r="F53" i="1" a="1"/>
  <c r="F53" i="1" s="1"/>
  <c r="K53" i="1" s="1"/>
  <c r="E49" i="2" s="1"/>
  <c r="F49" i="2" s="1"/>
  <c r="I53" i="1"/>
  <c r="E49" i="3" s="1"/>
  <c r="F49" i="3" s="1"/>
  <c r="F54" i="1" a="1"/>
  <c r="F54" i="1" s="1"/>
  <c r="K54" i="1" s="1"/>
  <c r="E50" i="2" s="1"/>
  <c r="F50" i="2" s="1"/>
  <c r="I54" i="1"/>
  <c r="E50" i="3" s="1"/>
  <c r="F50" i="3" s="1"/>
  <c r="F55" i="1" a="1"/>
  <c r="F55" i="1" s="1"/>
  <c r="K55" i="1" s="1"/>
  <c r="E51" i="2" s="1"/>
  <c r="F51" i="2" s="1"/>
  <c r="I55" i="1"/>
  <c r="E51" i="3" s="1"/>
  <c r="F51" i="3" s="1"/>
  <c r="F56" i="1" a="1"/>
  <c r="F56" i="1" s="1"/>
  <c r="K56" i="1" s="1"/>
  <c r="E52" i="2" s="1"/>
  <c r="F52" i="2" s="1"/>
  <c r="I56" i="1"/>
  <c r="E52" i="3" s="1"/>
  <c r="F52" i="3" s="1"/>
  <c r="F57" i="1" a="1"/>
  <c r="F57" i="1" s="1"/>
  <c r="K57" i="1" s="1"/>
  <c r="E53" i="2" s="1"/>
  <c r="F53" i="2" s="1"/>
  <c r="I57" i="1"/>
  <c r="E53" i="3" s="1"/>
  <c r="F53" i="3" s="1"/>
  <c r="F58" i="1" a="1"/>
  <c r="F58" i="1" s="1"/>
  <c r="K58" i="1" s="1"/>
  <c r="E54" i="2" s="1"/>
  <c r="F54" i="2" s="1"/>
  <c r="I58" i="1"/>
  <c r="E54" i="3" s="1"/>
  <c r="F54" i="3" s="1"/>
  <c r="F59" i="1" a="1"/>
  <c r="F59" i="1" s="1"/>
  <c r="K59" i="1" s="1"/>
  <c r="E55" i="2" s="1"/>
  <c r="F55" i="2" s="1"/>
  <c r="I59" i="1"/>
  <c r="E55" i="3" s="1"/>
  <c r="F55" i="3" s="1"/>
  <c r="F60" i="1" a="1"/>
  <c r="F60" i="1" s="1"/>
  <c r="K60" i="1" s="1"/>
  <c r="E56" i="2" s="1"/>
  <c r="F56" i="2" s="1"/>
  <c r="I60" i="1"/>
  <c r="E56" i="3" s="1"/>
  <c r="F56" i="3" s="1"/>
  <c r="F61" i="1" a="1"/>
  <c r="F61" i="1" s="1"/>
  <c r="K61" i="1" s="1"/>
  <c r="E57" i="2" s="1"/>
  <c r="F57" i="2" s="1"/>
  <c r="I61" i="1"/>
  <c r="E57" i="3" s="1"/>
  <c r="F57" i="3" s="1"/>
  <c r="F62" i="1" a="1"/>
  <c r="F62" i="1" s="1"/>
  <c r="K62" i="1" s="1"/>
  <c r="E58" i="2" s="1"/>
  <c r="F58" i="2" s="1"/>
  <c r="I62" i="1"/>
  <c r="E58" i="3" s="1"/>
  <c r="F58" i="3" s="1"/>
  <c r="F63" i="1" a="1"/>
  <c r="F63" i="1" s="1"/>
  <c r="K63" i="1" s="1"/>
  <c r="E59" i="2" s="1"/>
  <c r="F59" i="2" s="1"/>
  <c r="I63" i="1"/>
  <c r="E59" i="3" s="1"/>
  <c r="F59" i="3" s="1"/>
  <c r="F64" i="1" a="1"/>
  <c r="F64" i="1" s="1"/>
  <c r="K64" i="1" s="1"/>
  <c r="E60" i="2" s="1"/>
  <c r="F60" i="2" s="1"/>
  <c r="I64" i="1"/>
  <c r="E60" i="3" s="1"/>
  <c r="F60" i="3" s="1"/>
  <c r="F65" i="1" a="1"/>
  <c r="F65" i="1" s="1"/>
  <c r="K65" i="1" s="1"/>
  <c r="E61" i="2" s="1"/>
  <c r="F61" i="2" s="1"/>
  <c r="I65" i="1"/>
  <c r="E61" i="3" s="1"/>
  <c r="F61" i="3" s="1"/>
  <c r="F66" i="1" a="1"/>
  <c r="F66" i="1" s="1"/>
  <c r="K66" i="1" s="1"/>
  <c r="E62" i="2" s="1"/>
  <c r="F62" i="2" s="1"/>
  <c r="I66" i="1"/>
  <c r="E62" i="3" s="1"/>
  <c r="F62" i="3" s="1"/>
  <c r="F67" i="1" a="1"/>
  <c r="F67" i="1" s="1"/>
  <c r="K67" i="1" s="1"/>
  <c r="E63" i="2" s="1"/>
  <c r="F63" i="2" s="1"/>
  <c r="I67" i="1"/>
  <c r="E63" i="3" s="1"/>
  <c r="F63" i="3" s="1"/>
  <c r="F68" i="1" a="1"/>
  <c r="F68" i="1" s="1"/>
  <c r="K68" i="1" s="1"/>
  <c r="E64" i="2" s="1"/>
  <c r="F64" i="2" s="1"/>
  <c r="I68" i="1"/>
  <c r="E64" i="3" s="1"/>
  <c r="F64" i="3" s="1"/>
  <c r="F69" i="1" a="1"/>
  <c r="F69" i="1" s="1"/>
  <c r="K69" i="1" s="1"/>
  <c r="E65" i="2" s="1"/>
  <c r="F65" i="2" s="1"/>
  <c r="I69" i="1"/>
  <c r="E65" i="3" s="1"/>
  <c r="F65" i="3" s="1"/>
  <c r="F70" i="1" a="1"/>
  <c r="F70" i="1" s="1"/>
  <c r="K70" i="1" s="1"/>
  <c r="E66" i="2" s="1"/>
  <c r="F66" i="2" s="1"/>
  <c r="I70" i="1"/>
  <c r="E66" i="3" s="1"/>
  <c r="F66" i="3" s="1"/>
  <c r="F71" i="1" a="1"/>
  <c r="F71" i="1" s="1"/>
  <c r="K71" i="1" s="1"/>
  <c r="E67" i="2" s="1"/>
  <c r="F67" i="2" s="1"/>
  <c r="I71" i="1"/>
  <c r="E67" i="3" s="1"/>
  <c r="F67" i="3" s="1"/>
  <c r="F72" i="1" a="1"/>
  <c r="F72" i="1" s="1"/>
  <c r="K72" i="1" s="1"/>
  <c r="E68" i="2" s="1"/>
  <c r="F68" i="2" s="1"/>
  <c r="I72" i="1"/>
  <c r="E68" i="3" s="1"/>
  <c r="F68" i="3" s="1"/>
  <c r="F73" i="1" a="1"/>
  <c r="F73" i="1" s="1"/>
  <c r="K73" i="1" s="1"/>
  <c r="E69" i="2" s="1"/>
  <c r="F69" i="2" s="1"/>
  <c r="I73" i="1"/>
  <c r="E69" i="3" s="1"/>
  <c r="F69" i="3" s="1"/>
  <c r="F74" i="1" a="1"/>
  <c r="F74" i="1" s="1"/>
  <c r="K74" i="1" s="1"/>
  <c r="E70" i="2" s="1"/>
  <c r="F70" i="2" s="1"/>
  <c r="I74" i="1"/>
  <c r="E70" i="3" s="1"/>
  <c r="F70" i="3" s="1"/>
  <c r="F75" i="1" a="1"/>
  <c r="F75" i="1" s="1"/>
  <c r="K75" i="1" s="1"/>
  <c r="E71" i="2" s="1"/>
  <c r="F71" i="2" s="1"/>
  <c r="I75" i="1"/>
  <c r="E71" i="3" s="1"/>
  <c r="F71" i="3" s="1"/>
  <c r="F76" i="1" a="1"/>
  <c r="F76" i="1" s="1"/>
  <c r="K76" i="1" s="1"/>
  <c r="E72" i="2" s="1"/>
  <c r="F72" i="2" s="1"/>
  <c r="I76" i="1"/>
  <c r="E72" i="3" s="1"/>
  <c r="F72" i="3" s="1"/>
  <c r="F77" i="1" a="1"/>
  <c r="F77" i="1" s="1"/>
  <c r="K77" i="1" s="1"/>
  <c r="E73" i="2" s="1"/>
  <c r="F73" i="2" s="1"/>
  <c r="I77" i="1"/>
  <c r="E73" i="3" s="1"/>
  <c r="F73" i="3" s="1"/>
  <c r="F78" i="1" a="1"/>
  <c r="F78" i="1" s="1"/>
  <c r="K78" i="1" s="1"/>
  <c r="E74" i="2" s="1"/>
  <c r="F74" i="2" s="1"/>
  <c r="I78" i="1"/>
  <c r="E74" i="3" s="1"/>
  <c r="F74" i="3" s="1"/>
  <c r="F79" i="1" a="1"/>
  <c r="F79" i="1" s="1"/>
  <c r="K79" i="1" s="1"/>
  <c r="E75" i="2" s="1"/>
  <c r="F75" i="2" s="1"/>
  <c r="I79" i="1"/>
  <c r="E75" i="3" s="1"/>
  <c r="F75" i="3" s="1"/>
  <c r="F80" i="1" a="1"/>
  <c r="F80" i="1" s="1"/>
  <c r="K80" i="1" s="1"/>
  <c r="E76" i="2" s="1"/>
  <c r="F76" i="2" s="1"/>
  <c r="I80" i="1"/>
  <c r="E76" i="3" s="1"/>
  <c r="F76" i="3" s="1"/>
  <c r="F81" i="1" a="1"/>
  <c r="F81" i="1" s="1"/>
  <c r="K81" i="1" s="1"/>
  <c r="E77" i="2" s="1"/>
  <c r="F77" i="2" s="1"/>
  <c r="I81" i="1"/>
  <c r="E77" i="3" s="1"/>
  <c r="F77" i="3" s="1"/>
  <c r="F82" i="1" a="1"/>
  <c r="F82" i="1" s="1"/>
  <c r="K82" i="1" s="1"/>
  <c r="E78" i="2" s="1"/>
  <c r="F78" i="2" s="1"/>
  <c r="I82" i="1"/>
  <c r="E78" i="3" s="1"/>
  <c r="F78" i="3" s="1"/>
  <c r="F83" i="1" a="1"/>
  <c r="F83" i="1" s="1"/>
  <c r="K83" i="1" s="1"/>
  <c r="E79" i="2" s="1"/>
  <c r="F79" i="2" s="1"/>
  <c r="I83" i="1"/>
  <c r="E79" i="3" s="1"/>
  <c r="F79" i="3" s="1"/>
  <c r="F84" i="1" a="1"/>
  <c r="F84" i="1" s="1"/>
  <c r="K84" i="1" s="1"/>
  <c r="E80" i="2" s="1"/>
  <c r="F80" i="2" s="1"/>
  <c r="I84" i="1"/>
  <c r="E80" i="3" s="1"/>
  <c r="F80" i="3" s="1"/>
  <c r="F85" i="1" a="1"/>
  <c r="F85" i="1" s="1"/>
  <c r="K85" i="1" s="1"/>
  <c r="E81" i="2" s="1"/>
  <c r="F81" i="2" s="1"/>
  <c r="I85" i="1"/>
  <c r="E81" i="3" s="1"/>
  <c r="F81" i="3" s="1"/>
  <c r="F86" i="1" a="1"/>
  <c r="F86" i="1" s="1"/>
  <c r="K86" i="1" s="1"/>
  <c r="E82" i="2" s="1"/>
  <c r="F82" i="2" s="1"/>
  <c r="I86" i="1"/>
  <c r="E82" i="3" s="1"/>
  <c r="F82" i="3" s="1"/>
  <c r="F87" i="1" a="1"/>
  <c r="F87" i="1" s="1"/>
  <c r="K87" i="1" s="1"/>
  <c r="E83" i="2" s="1"/>
  <c r="F83" i="2" s="1"/>
  <c r="I87" i="1"/>
  <c r="E83" i="3" s="1"/>
  <c r="F83" i="3" s="1"/>
  <c r="F88" i="1" a="1"/>
  <c r="F88" i="1" s="1"/>
  <c r="K88" i="1" s="1"/>
  <c r="E84" i="2" s="1"/>
  <c r="F84" i="2" s="1"/>
  <c r="I88" i="1"/>
  <c r="E84" i="3" s="1"/>
  <c r="F84" i="3" s="1"/>
  <c r="F89" i="1" a="1"/>
  <c r="F89" i="1" s="1"/>
  <c r="K89" i="1" s="1"/>
  <c r="E85" i="2" s="1"/>
  <c r="F85" i="2" s="1"/>
  <c r="I89" i="1"/>
  <c r="E85" i="3" s="1"/>
  <c r="F85" i="3" s="1"/>
  <c r="F90" i="1" a="1"/>
  <c r="F90" i="1" s="1"/>
  <c r="K90" i="1" s="1"/>
  <c r="E86" i="2" s="1"/>
  <c r="F86" i="2" s="1"/>
  <c r="I90" i="1"/>
  <c r="E86" i="3" s="1"/>
  <c r="F86" i="3" s="1"/>
  <c r="F91" i="1" a="1"/>
  <c r="F91" i="1" s="1"/>
  <c r="K91" i="1" s="1"/>
  <c r="E87" i="2" s="1"/>
  <c r="F87" i="2" s="1"/>
  <c r="I91" i="1"/>
  <c r="E87" i="3" s="1"/>
  <c r="F87" i="3" s="1"/>
  <c r="F92" i="1" a="1"/>
  <c r="F92" i="1" s="1"/>
  <c r="K92" i="1" s="1"/>
  <c r="E88" i="2" s="1"/>
  <c r="F88" i="2" s="1"/>
  <c r="I92" i="1"/>
  <c r="E88" i="3" s="1"/>
  <c r="F88" i="3" s="1"/>
  <c r="F93" i="1" a="1"/>
  <c r="F93" i="1" s="1"/>
  <c r="K93" i="1" s="1"/>
  <c r="E89" i="2" s="1"/>
  <c r="F89" i="2" s="1"/>
  <c r="I93" i="1"/>
  <c r="E89" i="3" s="1"/>
  <c r="F89" i="3" s="1"/>
  <c r="F94" i="1" a="1"/>
  <c r="F94" i="1" s="1"/>
  <c r="K94" i="1" s="1"/>
  <c r="E90" i="2" s="1"/>
  <c r="F90" i="2" s="1"/>
  <c r="I94" i="1"/>
  <c r="E90" i="3" s="1"/>
  <c r="F90" i="3" s="1"/>
  <c r="F95" i="1" a="1"/>
  <c r="F95" i="1" s="1"/>
  <c r="K95" i="1" s="1"/>
  <c r="E91" i="2" s="1"/>
  <c r="F91" i="2" s="1"/>
  <c r="I95" i="1"/>
  <c r="E91" i="3" s="1"/>
  <c r="F91" i="3" s="1"/>
  <c r="F96" i="1" a="1"/>
  <c r="F96" i="1" s="1"/>
  <c r="K96" i="1" s="1"/>
  <c r="E92" i="2" s="1"/>
  <c r="F92" i="2" s="1"/>
  <c r="I96" i="1"/>
  <c r="E92" i="3" s="1"/>
  <c r="F92" i="3" s="1"/>
  <c r="F97" i="1" a="1"/>
  <c r="F97" i="1" s="1"/>
  <c r="K97" i="1" s="1"/>
  <c r="E93" i="2" s="1"/>
  <c r="F93" i="2" s="1"/>
  <c r="I97" i="1"/>
  <c r="E93" i="3" s="1"/>
  <c r="F93" i="3" s="1"/>
  <c r="F98" i="1" a="1"/>
  <c r="F98" i="1" s="1"/>
  <c r="K98" i="1" s="1"/>
  <c r="E94" i="2" s="1"/>
  <c r="F94" i="2" s="1"/>
  <c r="I98" i="1"/>
  <c r="E94" i="3" s="1"/>
  <c r="F94" i="3" s="1"/>
  <c r="F99" i="1" a="1"/>
  <c r="F99" i="1" s="1"/>
  <c r="K99" i="1" s="1"/>
  <c r="E95" i="2" s="1"/>
  <c r="F95" i="2" s="1"/>
  <c r="I99" i="1"/>
  <c r="E95" i="3" s="1"/>
  <c r="F95" i="3" s="1"/>
  <c r="F100" i="1" a="1"/>
  <c r="F100" i="1" s="1"/>
  <c r="K100" i="1" s="1"/>
  <c r="E96" i="2" s="1"/>
  <c r="F96" i="2" s="1"/>
  <c r="I100" i="1"/>
  <c r="E96" i="3" s="1"/>
  <c r="F96" i="3" s="1"/>
  <c r="F101" i="1" a="1"/>
  <c r="F101" i="1" s="1"/>
  <c r="K101" i="1" s="1"/>
  <c r="E97" i="2" s="1"/>
  <c r="F97" i="2" s="1"/>
  <c r="I101" i="1"/>
  <c r="E97" i="3" s="1"/>
  <c r="F97" i="3" s="1"/>
  <c r="F102" i="1" a="1"/>
  <c r="F102" i="1" s="1"/>
  <c r="K102" i="1" s="1"/>
  <c r="E98" i="2" s="1"/>
  <c r="F98" i="2" s="1"/>
  <c r="I102" i="1"/>
  <c r="E98" i="3" s="1"/>
  <c r="F98" i="3" s="1"/>
  <c r="F103" i="1" a="1"/>
  <c r="F103" i="1" s="1"/>
  <c r="K103" i="1" s="1"/>
  <c r="E99" i="2" s="1"/>
  <c r="F99" i="2" s="1"/>
  <c r="I103" i="1"/>
  <c r="E99" i="3" s="1"/>
  <c r="F99" i="3" s="1"/>
  <c r="F104" i="1" a="1"/>
  <c r="F104" i="1" s="1"/>
  <c r="K104" i="1" s="1"/>
  <c r="E100" i="2" s="1"/>
  <c r="F100" i="2" s="1"/>
  <c r="I104" i="1"/>
  <c r="E100" i="3" s="1"/>
  <c r="F100" i="3" s="1"/>
  <c r="F105" i="1" a="1"/>
  <c r="F105" i="1" s="1"/>
  <c r="K105" i="1" s="1"/>
  <c r="E101" i="2" s="1"/>
  <c r="F101" i="2" s="1"/>
  <c r="I105" i="1"/>
  <c r="E101" i="3" s="1"/>
  <c r="F101" i="3" s="1"/>
  <c r="I6" i="1"/>
  <c r="F6" i="1" a="1"/>
  <c r="F6" i="1" s="1"/>
  <c r="K6" i="1" s="1"/>
  <c r="B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<sst xmlns="http://schemas.openxmlformats.org/spreadsheetml/2006/main" count="168" uniqueCount="46">
  <si>
    <t>Catalog #</t>
  </si>
  <si>
    <t>Description</t>
  </si>
  <si>
    <t>Qty</t>
  </si>
  <si>
    <t>SubTotal</t>
  </si>
  <si>
    <t>T. Entrega</t>
  </si>
  <si>
    <t>Unit Price Prov</t>
  </si>
  <si>
    <t>Unit Price Dasic</t>
  </si>
  <si>
    <t>Unit Price Customer</t>
  </si>
  <si>
    <t>Item</t>
  </si>
  <si>
    <t>3 Días</t>
  </si>
  <si>
    <t>2 Semanas</t>
  </si>
  <si>
    <t>USD</t>
  </si>
  <si>
    <t>Discount</t>
  </si>
  <si>
    <t>Unit Price Dasic
Discount</t>
  </si>
  <si>
    <t>Gain</t>
  </si>
  <si>
    <t>MN to USD</t>
  </si>
  <si>
    <t>USD to MN</t>
  </si>
  <si>
    <t xml:space="preserve">Unit Pricer
DOF </t>
  </si>
  <si>
    <t>MARCA</t>
  </si>
  <si>
    <t>Discount Customer</t>
  </si>
  <si>
    <t>Prveedor2</t>
  </si>
  <si>
    <t>Proveedor1</t>
  </si>
  <si>
    <t>Balluf.</t>
  </si>
  <si>
    <t>MN</t>
  </si>
  <si>
    <t>DOF</t>
  </si>
  <si>
    <t>Divisa Cotizacion</t>
  </si>
  <si>
    <t>Divisa Proveedor</t>
  </si>
  <si>
    <t>T. E. S. P. V.</t>
  </si>
  <si>
    <t>SubTotal(MN)</t>
  </si>
  <si>
    <t xml:space="preserve">3-5 Días Habiles </t>
  </si>
  <si>
    <t>440N-G02045</t>
  </si>
  <si>
    <t>INTERRUPTOR DE SEGURIDAD ACTUADO MAGNETICO 110 VCA</t>
  </si>
  <si>
    <t>LC1D09R7</t>
  </si>
  <si>
    <t>CONTACTOR 440V 9A</t>
  </si>
  <si>
    <t>CT6S-2P4</t>
  </si>
  <si>
    <t>COUNTER / TIMER 100-240 VAC</t>
  </si>
  <si>
    <t>SFNB 8TX</t>
  </si>
  <si>
    <t>ARRANCADOR SUAVE 85A 480V 3PH 150-C85NBD</t>
  </si>
  <si>
    <t xml:space="preserve"> 150-C85NBD</t>
  </si>
  <si>
    <t>TIMER 3RP2505-1BT20</t>
  </si>
  <si>
    <t>3RP2505-1BT20</t>
  </si>
  <si>
    <t>SWITCH PARA TABLERO FL SWITCH SFNB 8TX !</t>
  </si>
  <si>
    <t>RELEVADOR DE SOBR. 3RU2116-4BJ0 7-10A</t>
  </si>
  <si>
    <t>3RU2116-4BJ0</t>
  </si>
  <si>
    <t xml:space="preserve">50-55 Días Habiles </t>
  </si>
  <si>
    <t xml:space="preserve">8-10 Días Habiles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</si>
</sst>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000"/>
    <numFmt numFmtId="169" formatCode="_(&quot;$&quot;* #,##0.000_);_(&quot;$&quot;* \(#,##0.000\);_(&quot;$&quot;* &quot;-&quot;??_);_(@_)"/>
    <numFmt numFmtId="170" formatCode="_(&quot;$&quot;* #,##0.0000_);_(&quot;$&quot;* \(#,##0.0000\);_(&quot;$&quot;* &quot;-&quot;??_);_(@_)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0"/>
      <name val="Arial"/>
      <family val="2"/>
    </font>
    <font>
      <b/>
      <sz val="11"/>
      <color theme="0"/>
      <name val="Calibri"/>
      <family val="2"/>
    </font>
    <font>
      <sz val="10"/>
      <color theme="1"/>
      <name val="Aptos Narrow"/>
      <family val="2"/>
      <scheme val="minor"/>
    </font>
    <font>
      <b/>
      <sz val="10"/>
      <color rgb="FF000000"/>
      <name val="Calibri"/>
      <family val="2"/>
    </font>
    <font>
      <u/>
      <sz val="11"/>
      <color theme="1"/>
      <name val="Aptos Narrow"/>
      <family val="2"/>
      <scheme val="minor"/>
    </font>
    <font>
      <sz val="11"/>
      <color rgb="FF575757"/>
      <name val="Source Sans Pro"/>
      <family val="2"/>
    </font>
    <font>
      <sz val="15.8"/>
      <color rgb="FF444444"/>
      <name val="Source Sans Pro"/>
      <family val="2"/>
    </font>
    <font>
      <sz val="8"/>
      <name val="Aptos Narrow"/>
      <family val="2"/>
      <scheme val="minor"/>
    </font>
    <font>
      <sz val="9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0FFFF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E0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9">
    <xf numFmtId="0" fontId="0" fillId="0" borderId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3" fillId="0" borderId="0" applyFont="0" applyFill="0" applyBorder="0" applyAlignment="0" applyProtection="0"/>
  </cellStyleXfs>
  <cellXfs count="53">
    <xf numFmtId="0" fontId="0" fillId="0" borderId="0" xfId="0"/>
    <xf numFmtId="0" fontId="0" fillId="0" borderId="0" xfId="0" applyAlignment="1">
      <alignment wrapText="1"/>
    </xf>
    <xf numFmtId="166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166" fontId="2" fillId="0" borderId="1" xfId="1" applyFont="1" applyFill="1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166" fontId="6" fillId="0" borderId="1" xfId="1" applyFont="1" applyFill="1" applyBorder="1" applyAlignment="1">
      <alignment horizontal="right" vertical="center"/>
    </xf>
    <xf numFmtId="0" fontId="4" fillId="3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166" fontId="0" fillId="0" borderId="0" xfId="1" applyFont="1" applyProtection="1">
      <protection locked="0"/>
    </xf>
    <xf numFmtId="170" fontId="2" fillId="2" borderId="0" xfId="1" applyNumberFormat="1" applyFont="1" applyFill="1" applyAlignment="1" applyProtection="1">
      <alignment vertical="center"/>
      <protection locked="0"/>
    </xf>
    <xf numFmtId="10" fontId="0" fillId="0" borderId="0" xfId="2" applyNumberFormat="1" applyFont="1" applyProtection="1">
      <protection locked="0"/>
    </xf>
    <xf numFmtId="0" fontId="2" fillId="2" borderId="0" xfId="0" applyFont="1" applyFill="1" applyAlignment="1" applyProtection="1">
      <alignment horizontal="left" vertical="center"/>
      <protection locked="0"/>
    </xf>
    <xf numFmtId="0" fontId="2" fillId="2" borderId="0" xfId="0" applyFont="1" applyFill="1" applyAlignment="1" applyProtection="1">
      <alignment vertical="center"/>
      <protection locked="0"/>
    </xf>
    <xf numFmtId="0" fontId="2" fillId="2" borderId="0" xfId="0" applyFont="1" applyFill="1" applyAlignment="1" applyProtection="1">
      <alignment horizontal="center" vertical="center"/>
      <protection locked="0"/>
    </xf>
    <xf numFmtId="166" fontId="2" fillId="2" borderId="0" xfId="1" applyFont="1" applyFill="1" applyAlignment="1" applyProtection="1">
      <alignment vertical="center"/>
      <protection locked="0"/>
    </xf>
    <xf numFmtId="0" fontId="2" fillId="2" borderId="0" xfId="0" applyFont="1" applyFill="1" applyAlignment="1" applyProtection="1">
      <alignment horizontal="center" vertical="center" wrapText="1"/>
      <protection locked="0"/>
    </xf>
    <xf numFmtId="0" fontId="2" fillId="2" borderId="0" xfId="0" applyFont="1" applyFill="1" applyAlignment="1" applyProtection="1">
      <alignment vertical="center" wrapText="1"/>
      <protection locked="0"/>
    </xf>
    <xf numFmtId="0" fontId="2" fillId="4" borderId="0" xfId="0" applyFont="1" applyFill="1" applyAlignment="1" applyProtection="1">
      <alignment vertical="center" wrapText="1"/>
      <protection locked="0"/>
    </xf>
    <xf numFmtId="0" fontId="2" fillId="4" borderId="0" xfId="0" applyFont="1" applyFill="1" applyAlignment="1" applyProtection="1">
      <alignment vertical="center"/>
      <protection locked="0"/>
    </xf>
    <xf numFmtId="168" fontId="0" fillId="0" borderId="0" xfId="0" applyNumberFormat="1" applyAlignment="1" applyProtection="1">
      <alignment horizontal="center" vertical="center"/>
      <protection locked="0"/>
    </xf>
    <xf numFmtId="166" fontId="0" fillId="0" borderId="0" xfId="1" applyFont="1" applyAlignment="1" applyProtection="1">
      <alignment vertical="center"/>
      <protection locked="0"/>
    </xf>
    <xf numFmtId="10" fontId="0" fillId="0" borderId="0" xfId="2" applyNumberFormat="1" applyFont="1" applyAlignment="1" applyProtection="1">
      <alignment vertical="center"/>
      <protection locked="0"/>
    </xf>
    <xf numFmtId="0" fontId="0" fillId="0" borderId="0" xfId="0" applyAlignment="1" applyProtection="1">
      <alignment vertical="center"/>
      <protection locked="0"/>
    </xf>
    <xf numFmtId="166" fontId="0" fillId="0" borderId="0" xfId="0" applyNumberFormat="1" applyProtection="1">
      <protection locked="0"/>
    </xf>
    <xf numFmtId="169" fontId="0" fillId="0" borderId="0" xfId="0" applyNumberFormat="1" applyProtection="1">
      <protection locked="0"/>
    </xf>
    <xf numFmtId="170" fontId="2" fillId="2" borderId="0" xfId="1" applyNumberFormat="1" applyFont="1" applyFill="1" applyAlignment="1" applyProtection="1">
      <alignment vertical="center" wrapText="1"/>
      <protection locked="0"/>
    </xf>
    <xf numFmtId="166" fontId="0" fillId="0" borderId="0" xfId="0" applyNumberFormat="1" applyAlignment="1">
      <alignment vertical="center"/>
    </xf>
    <xf numFmtId="169" fontId="0" fillId="0" borderId="0" xfId="0" applyNumberFormat="1" applyAlignment="1">
      <alignment vertical="center"/>
    </xf>
    <xf numFmtId="170" fontId="2" fillId="2" borderId="0" xfId="1" applyNumberFormat="1" applyFont="1" applyFill="1" applyAlignment="1" applyProtection="1">
      <alignment vertical="center"/>
    </xf>
    <xf numFmtId="10" fontId="7" fillId="0" borderId="0" xfId="2" applyNumberFormat="1" applyFont="1" applyProtection="1">
      <protection locked="0"/>
    </xf>
    <xf numFmtId="0" fontId="8" fillId="0" borderId="0" xfId="0" applyFont="1" applyProtection="1">
      <protection locked="0"/>
    </xf>
    <xf numFmtId="0" fontId="9" fillId="0" borderId="0" xfId="0" applyFont="1" applyAlignment="1" applyProtection="1">
      <alignment vertical="center" wrapText="1"/>
      <protection locked="0"/>
    </xf>
    <xf numFmtId="0" fontId="11" fillId="0" borderId="0" xfId="0" applyFont="1" applyProtection="1">
      <protection locked="0"/>
    </xf>
    <xf numFmtId="0" fontId="0" fillId="0" borderId="0" xfId="0" applyAlignment="1" applyProtection="1">
      <alignment vertical="center" wrapText="1"/>
      <protection locked="0"/>
    </xf>
    <xf numFmtId="0" fontId="11" fillId="0" borderId="0" xfId="0" applyFont="1" applyAlignment="1" applyProtection="1">
      <alignment horizontal="left" vertical="center" wrapText="1"/>
      <protection locked="0"/>
    </xf>
    <xf numFmtId="0" fontId="11" fillId="0" borderId="0" xfId="0" applyFont="1" applyAlignment="1" applyProtection="1">
      <alignment vertical="center" wrapText="1"/>
      <protection locked="0"/>
    </xf>
    <xf numFmtId="166" fontId="2" fillId="2" borderId="0" xfId="1" applyFont="1" applyFill="1" applyAlignment="1" applyProtection="1">
      <alignment horizontal="center" vertical="center"/>
      <protection locked="0"/>
    </xf>
  </cellXfs>
  <cellStyles count="19">
    <cellStyle name="Comma [0] 2" xfId="8" xr:uid="{F6CD1DE3-2101-4B20-ABA3-54B85858019F}"/>
    <cellStyle name="Comma 2" xfId="7" xr:uid="{71BB47DD-2524-4AAC-8FED-2C8D7524FAF7}"/>
    <cellStyle name="Comma 3" xfId="11" xr:uid="{34490FB4-90FC-4DB4-9780-A4262F7FF21C}"/>
    <cellStyle name="Comma 4" xfId="12" xr:uid="{7E170FDB-BB68-4F43-8C17-A1F2637DC932}"/>
    <cellStyle name="Comma 5" xfId="15" xr:uid="{08BDA6F5-DDBA-4F84-8071-738B10C2BBAE}"/>
    <cellStyle name="Comma 6" xfId="16" xr:uid="{CB43403B-C5CE-46C8-9ECB-A9CC62293F74}"/>
    <cellStyle name="Comma 7" xfId="18" xr:uid="{308B92EB-6FE7-47C5-9725-94BAC1A68FFC}"/>
    <cellStyle name="Currency [0] 2" xfId="6" xr:uid="{2606958E-5E54-4787-95ED-1B32105144B9}"/>
    <cellStyle name="Currency 2" xfId="5" xr:uid="{E4D6B33B-4659-43EC-8ABE-1B559FCE5D0B}"/>
    <cellStyle name="Currency 3" xfId="9" xr:uid="{74EB0E60-3C4B-4B68-A4E4-89BC65BA32B1}"/>
    <cellStyle name="Currency 4" xfId="10" xr:uid="{09529CF0-D52F-4DA2-9D58-72B9A10158E0}"/>
    <cellStyle name="Currency 5" xfId="13" xr:uid="{175069C7-04E7-4AF7-AF65-0770AF5969F1}"/>
    <cellStyle name="Currency 6" xfId="14" xr:uid="{BB862376-98FA-42AC-8E7C-5A227B45E145}"/>
    <cellStyle name="Currency 7" xfId="17" xr:uid="{60F933E5-986C-4066-8BF2-241914A6AC20}"/>
    <cellStyle name="Moneda" xfId="1" builtinId="4"/>
    <cellStyle name="Normal" xfId="0" builtinId="0"/>
    <cellStyle name="Normal 2" xfId="3" xr:uid="{CDF851C8-8ED8-472B-BE93-828699DE8C5E}"/>
    <cellStyle name="Percent 2" xfId="4" xr:uid="{6041A4BE-2A24-49ED-90EC-F234304BD3D1}"/>
    <cellStyle name="Porcentaje" xfId="2" builtinId="5"/>
  </cellStyles>
  <dxfs count="3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7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169" formatCode="_(&quot;$&quot;* #,##0.000_);_(&quot;$&quot;* \(#,##0.000\);_(&quot;$&quot;* &quot;-&quot;??_);_(@_)"/>
      <protection locked="1" hidden="0"/>
    </dxf>
    <dxf>
      <protection locked="0" hidden="0"/>
    </dxf>
    <dxf>
      <protection locked="1" hidden="0"/>
    </dxf>
    <dxf>
      <protection locked="0" hidden="0"/>
    </dxf>
    <dxf>
      <protection locked="1" hidden="0"/>
    </dxf>
    <dxf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protection locked="0" hidden="0"/>
    </dxf>
    <dxf>
      <protection locked="0" hidden="0"/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E0FFFF"/>
        </patternFill>
      </fill>
      <alignment horizontal="general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7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38100</xdr:colOff>
          <xdr:row>0</xdr:row>
          <xdr:rowOff>0</xdr:rowOff>
        </xdr:from>
        <xdr:to>
          <xdr:col>10</xdr:col>
          <xdr:colOff>962025</xdr:colOff>
          <xdr:row>2</xdr:row>
          <xdr:rowOff>19050</xdr:rowOff>
        </xdr:to>
        <xdr:sp macro="" textlink="">
          <xdr:nvSpPr>
            <xdr:cNvPr id="1025" name="CommandButton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EBD4D1-2870-42F6-92A6-3A78FBE40DAF}" name="Table1" displayName="Table1" ref="A5:P111" totalsRowShown="0" headerRowDxfId="26" dataDxfId="25">
  <autoFilter ref="A5:P111" xr:uid="{81EBD4D1-2870-42F6-92A6-3A78FBE40DAF}"/>
  <tableColumns count="16">
    <tableColumn id="1" xr3:uid="{E855AEE8-C479-4863-BFA8-3234A6648BD5}" name="Catalog #" dataDxfId="24"/>
    <tableColumn id="2" xr3:uid="{8441384D-3BE9-4A54-9D1D-FF21A5137617}" name="Description" dataDxfId="23"/>
    <tableColumn id="3" xr3:uid="{6F9F7B47-C291-4508-8D02-BCD0820200F1}" name="Qty" dataDxfId="22"/>
    <tableColumn id="4" xr3:uid="{A47D88A5-F11A-4F03-B3AB-ADD70432F0ED}" name="Unit Price Prov" dataDxfId="21"/>
    <tableColumn id="5" xr3:uid="{C2341828-33D2-4741-BE31-75D788526410}" name="Divisa Proveedor" dataDxfId="20"/>
    <tableColumn id="6" xr3:uid="{5947D0D6-299C-421D-A562-EB475621C91B}" name="Unit Price Dasic" dataDxfId="19"/>
    <tableColumn id="7" xr3:uid="{1CA0C7E1-1ED0-4AE2-B81A-D6EEC873472D}" name="Unit Pricer_x000a_DOF " dataDxfId="18">
      <calculatedColumnFormula array="1">_xlfn.SWITCH($F$1,"USD",(_xlfn.SWITCH(E6,"USD",(D6),"MN",(D6/$E$4))),"MN",(_xlfn.SWITCH(E6,"MN",(D6),"USD",(D6*$E$4))))</calculatedColumnFormula>
    </tableColumn>
    <tableColumn id="8" xr3:uid="{289C6F62-0A6B-4F4F-8510-F271365E6F31}" name="Discount" dataDxfId="17"/>
    <tableColumn id="9" xr3:uid="{95DE68D7-5DB8-4178-8317-290237C8C08E}" name="Unit Price Dasic_x000a_Discount" dataDxfId="16"/>
    <tableColumn id="10" xr3:uid="{2EB9738C-0974-43DC-96F7-34D905C1A99D}" name="Gain" dataDxfId="15"/>
    <tableColumn id="11" xr3:uid="{2AB663DC-4F81-4E7E-BA60-F921F4B4FE9A}" name="Unit Price Customer" dataDxfId="14"/>
    <tableColumn id="12" xr3:uid="{AA384C77-32F0-4156-A0D3-3644E1ADAEBA}" name="T. Entrega" dataDxfId="13"/>
    <tableColumn id="13" xr3:uid="{C2723FBA-7CE3-4EF7-A111-8DDD5F4B2414}" name="MARCA" dataDxfId="12"/>
    <tableColumn id="14" xr3:uid="{B30767C4-E44A-4472-BB01-7F6AFA63A463}" name="Discount Customer" dataDxfId="11"/>
    <tableColumn id="15" xr3:uid="{A5963302-351C-4EA8-8AAB-67D3C6A7C8BD}" name="Proveedor1" dataDxfId="10"/>
    <tableColumn id="16" xr3:uid="{78217991-AEEA-4EBC-9A59-F633F0399A8A}" name="Prveedor2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EDDEA62-9732-43CA-AF07-E3ECCAA25366}" name="Table3" displayName="Table3" ref="A1:F110" totalsRowShown="0" headerRowDxfId="34" tableBorderDxfId="33">
  <autoFilter ref="A1:F110" xr:uid="{0EDDEA62-9732-43CA-AF07-E3ECCAA25366}"/>
  <tableColumns count="6">
    <tableColumn id="1" xr3:uid="{E9FD3BBE-7700-43CB-8268-C4A0C7E4F42F}" name="Item" dataDxfId="32"/>
    <tableColumn id="2" xr3:uid="{FD3EFFE4-C5B9-4C95-B870-EB3B9DDEF08B}" name="Catalog #" dataDxfId="31">
      <calculatedColumnFormula>+CotProveedor!A6</calculatedColumnFormula>
    </tableColumn>
    <tableColumn id="3" xr3:uid="{75E94143-B73F-41C1-8EC4-16504EA7B857}" name="Description" dataDxfId="30">
      <calculatedColumnFormula>CONCATENATE(CotProveedor!B6,"      ",CHAR(47)," ",CotProveedor!$L$2, " ",CotProveedor!L6)</calculatedColumnFormula>
    </tableColumn>
    <tableColumn id="4" xr3:uid="{33830235-61E7-477B-8B50-ADA87706F3E9}" name="Qty" dataDxfId="29">
      <calculatedColumnFormula>+CotProveedor!C6</calculatedColumnFormula>
    </tableColumn>
    <tableColumn id="5" xr3:uid="{70711463-CDB6-4844-91BC-75A81B35FDB8}" name="Unit Price Customer" dataDxfId="28">
      <calculatedColumnFormula>CotProveedor!K6</calculatedColumnFormula>
    </tableColumn>
    <tableColumn id="6" xr3:uid="{7EB37FC3-ACBD-4F28-839D-61206E8986A2}" name="SubTotal" dataDxfId="27">
      <calculatedColumnFormula>D2*E2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DFD0151-FDB9-4ADF-9801-0F4EB512A39F}" name="Table5" displayName="Table5" ref="A1:F111" totalsRowShown="0" headerRowDxfId="8" headerRowBorderDxfId="7" tableBorderDxfId="6">
  <autoFilter ref="A1:F111" xr:uid="{0DFD0151-FDB9-4ADF-9801-0F4EB512A39F}"/>
  <tableColumns count="6">
    <tableColumn id="1" xr3:uid="{EBC6AE03-734D-4BE3-BEDB-5E014B46965E}" name="Item" dataDxfId="5"/>
    <tableColumn id="2" xr3:uid="{CE3EBE0A-160D-42F6-B138-0B5721E653A9}" name="Catalog #" dataDxfId="4">
      <calculatedColumnFormula>+CotProveedor!A6</calculatedColumnFormula>
    </tableColumn>
    <tableColumn id="3" xr3:uid="{481FBAB2-AD59-4332-B630-47CB551F7885}" name="Description" dataDxfId="3">
      <calculatedColumnFormula>CotProveedor!B6</calculatedColumnFormula>
    </tableColumn>
    <tableColumn id="4" xr3:uid="{74350FA6-72F1-4B30-A704-1F2E562549F8}" name="Qty" dataDxfId="2">
      <calculatedColumnFormula>+CotProveedor!C6</calculatedColumnFormula>
    </tableColumn>
    <tableColumn id="5" xr3:uid="{6AEABD2E-8525-4422-AF7C-240922C4E87A}" name="Unit Price Customer" dataDxfId="1">
      <calculatedColumnFormula>+CotProveedor!I6</calculatedColumnFormula>
    </tableColumn>
    <tableColumn id="6" xr3:uid="{1501CAC0-9785-4C20-9C33-53A0BA8225DB}" name="SubTotal" dataDxfId="0">
      <calculatedColumnFormula>D2*E2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1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A94DA-375F-4A42-9054-A2C57A5D83D6}">
  <sheetPr codeName="Sheet1"/>
  <dimension ref="A1:P207"/>
  <sheetViews>
    <sheetView workbookViewId="0">
      <selection activeCell="L16" sqref="L16"/>
    </sheetView>
  </sheetViews>
  <sheetFormatPr baseColWidth="10" defaultColWidth="9.140625" defaultRowHeight="15" x14ac:dyDescent="0.25"/>
  <cols>
    <col min="1" max="1" width="22.28515625" style="22" customWidth="1"/>
    <col min="2" max="2" width="75.5703125" style="22" customWidth="1"/>
    <col min="3" max="3" width="6.28515625" style="23" customWidth="1"/>
    <col min="4" max="4" width="14.42578125" style="24" customWidth="1"/>
    <col min="5" max="5" width="10.140625" style="24" customWidth="1"/>
    <col min="6" max="6" width="15.140625" style="22" customWidth="1"/>
    <col min="7" max="7" width="9.85546875" style="22" hidden="1" customWidth="1"/>
    <col min="8" max="8" width="14" style="22" hidden="1" customWidth="1"/>
    <col min="9" max="9" width="19.42578125" style="22" hidden="1" customWidth="1"/>
    <col min="10" max="10" width="13.42578125" style="22" customWidth="1"/>
    <col min="11" max="11" width="14.85546875" style="22" customWidth="1"/>
    <col min="12" max="12" width="11.85546875" style="22" customWidth="1"/>
    <col min="13" max="13" width="12" style="22" customWidth="1"/>
    <col min="14" max="14" width="9.42578125" style="22" customWidth="1"/>
    <col min="15" max="15" width="10.85546875" style="22" customWidth="1"/>
    <col min="16" max="16" width="11.5703125" style="22" bestFit="1" customWidth="1"/>
    <col min="17" max="16384" width="9.140625" style="22"/>
  </cols>
  <sheetData>
    <row r="1" spans="1:16" x14ac:dyDescent="0.25">
      <c r="C1" s="8" t="s">
        <v>11</v>
      </c>
      <c r="D1" s="52" t="s">
        <v>25</v>
      </c>
      <c r="E1" s="52"/>
      <c r="F1" s="22" t="s">
        <v>23</v>
      </c>
    </row>
    <row r="2" spans="1:16" x14ac:dyDescent="0.25">
      <c r="C2" s="8" t="s">
        <v>23</v>
      </c>
      <c r="D2" s="24" t="s">
        <v>15</v>
      </c>
      <c r="E2" s="44">
        <f>+E4-1</f>
        <v>17.892800000000001</v>
      </c>
      <c r="F2" s="26"/>
      <c r="G2" s="26"/>
      <c r="H2" s="26"/>
      <c r="I2" s="26"/>
      <c r="J2" s="26"/>
      <c r="K2" s="26"/>
      <c r="L2" s="22" t="s">
        <v>27</v>
      </c>
    </row>
    <row r="3" spans="1:16" x14ac:dyDescent="0.25">
      <c r="D3" s="24" t="s">
        <v>16</v>
      </c>
      <c r="E3" s="44">
        <f>+E4+1</f>
        <v>19.892800000000001</v>
      </c>
      <c r="F3" s="26"/>
      <c r="G3" s="45"/>
      <c r="H3" s="26"/>
      <c r="I3" s="26"/>
      <c r="J3" s="26"/>
      <c r="K3" s="26"/>
    </row>
    <row r="4" spans="1:16" x14ac:dyDescent="0.25">
      <c r="D4" s="24" t="s">
        <v>24</v>
      </c>
      <c r="E4" s="25">
        <v>18.892800000000001</v>
      </c>
      <c r="F4" s="26"/>
      <c r="G4" s="26"/>
      <c r="H4" s="26"/>
      <c r="I4" s="26"/>
      <c r="J4" s="26"/>
      <c r="K4" s="26"/>
    </row>
    <row r="5" spans="1:16" ht="50.25" customHeight="1" x14ac:dyDescent="0.25">
      <c r="A5" s="27" t="s">
        <v>0</v>
      </c>
      <c r="B5" s="28" t="s">
        <v>1</v>
      </c>
      <c r="C5" s="29" t="s">
        <v>2</v>
      </c>
      <c r="D5" s="30" t="s">
        <v>5</v>
      </c>
      <c r="E5" s="41" t="s">
        <v>26</v>
      </c>
      <c r="F5" s="28" t="s">
        <v>6</v>
      </c>
      <c r="G5" s="31" t="s">
        <v>17</v>
      </c>
      <c r="H5" s="28" t="s">
        <v>12</v>
      </c>
      <c r="I5" s="31" t="s">
        <v>13</v>
      </c>
      <c r="J5" s="31" t="s">
        <v>14</v>
      </c>
      <c r="K5" s="32" t="s">
        <v>7</v>
      </c>
      <c r="L5" s="28" t="s">
        <v>4</v>
      </c>
      <c r="M5" s="28" t="s">
        <v>18</v>
      </c>
      <c r="N5" s="33" t="s">
        <v>19</v>
      </c>
      <c r="O5" s="34" t="s">
        <v>21</v>
      </c>
      <c r="P5" s="34" t="s">
        <v>20</v>
      </c>
    </row>
    <row r="6" spans="1:16" s="38" customFormat="1" ht="21" customHeight="1" x14ac:dyDescent="0.2">
      <c r="A6" s="48" t="s">
        <v>30</v>
      </c>
      <c r="B6" s="49" t="s">
        <v>31</v>
      </c>
      <c r="C6" s="35">
        <v>6</v>
      </c>
      <c r="D6" s="36">
        <v>218.01</v>
      </c>
      <c r="E6" s="36" t="s">
        <v>11</v>
      </c>
      <c r="F6" s="42" cm="1">
        <f t="array" ref="F6">_xlfn.SWITCH($F$1,"USD",(_xlfn.SWITCH(E6,"USD",(D6),"MN",(D6/$E$2))),"MN",(_xlfn.SWITCH(E6,"MN",(D6),"USD",(D6*$E$3))))</f>
        <v>4336.8293279999998</v>
      </c>
      <c r="G6" s="42" cm="1">
        <f t="array" ref="G6">_xlfn.SWITCH($F$1,"USD",(_xlfn.SWITCH(E6,"USD",(D6),"MN",(D6/$E$4))),"MN",(_xlfn.SWITCH(E6,"MN",(D6),"USD",(D6*$E$4))))</f>
        <v>4118.8193280000005</v>
      </c>
      <c r="H6" s="37">
        <v>0</v>
      </c>
      <c r="I6" s="42">
        <f>+G6*(1-H6)</f>
        <v>4118.8193280000005</v>
      </c>
      <c r="J6" s="37">
        <v>0.15</v>
      </c>
      <c r="K6" s="43">
        <f>+F6*(1+J6)</f>
        <v>4987.3537271999994</v>
      </c>
      <c r="L6" s="38" t="s">
        <v>44</v>
      </c>
      <c r="M6" s="36" t="s">
        <v>22</v>
      </c>
      <c r="N6" s="37">
        <v>0.04</v>
      </c>
    </row>
    <row r="7" spans="1:16" s="38" customFormat="1" ht="21" customHeight="1" x14ac:dyDescent="0.2">
      <c r="A7" s="48" t="s">
        <v>32</v>
      </c>
      <c r="B7" s="50" t="s">
        <v>33</v>
      </c>
      <c r="C7" s="35">
        <v>10</v>
      </c>
      <c r="D7" s="36">
        <v>500.34</v>
      </c>
      <c r="E7" s="36" t="s">
        <v>23</v>
      </c>
      <c r="F7" s="42" cm="1">
        <f t="array" ref="F7">_xlfn.SWITCH($F$1,"USD",(_xlfn.SWITCH(E7,"USD",(D7),"MN",(D7/$E$2))),"MN",(_xlfn.SWITCH(E7,"MN",(D7),"USD",(D7*$E$3))))</f>
        <v>500.34</v>
      </c>
      <c r="G7" s="42" cm="1">
        <f t="array" ref="G7">_xlfn.SWITCH($F$1,"USD",(_xlfn.SWITCH(E7,"USD",(D7),"MN",(D7/$E$4))),"MN",(_xlfn.SWITCH(E7,"MN",(D7),"USD",(D7*$E$4))))</f>
        <v>500.34</v>
      </c>
      <c r="H7" s="37">
        <v>0</v>
      </c>
      <c r="I7" s="42">
        <f t="shared" ref="I7:I70" si="0">+G7*(1-H7)</f>
        <v>500.34</v>
      </c>
      <c r="J7" s="37">
        <v>0.15</v>
      </c>
      <c r="K7" s="43">
        <f t="shared" ref="K7:K70" si="1">+F7*(1+J7)</f>
        <v>575.39099999999996</v>
      </c>
      <c r="L7" s="38" t="s">
        <v>45</v>
      </c>
      <c r="M7" s="36" t="s">
        <v>22</v>
      </c>
      <c r="N7" s="37">
        <v>0.03</v>
      </c>
    </row>
    <row r="8" spans="1:16" s="38" customFormat="1" ht="21" customHeight="1" x14ac:dyDescent="0.2">
      <c r="A8" s="48" t="s">
        <v>34</v>
      </c>
      <c r="B8" s="51" t="s">
        <v>35</v>
      </c>
      <c r="C8" s="35">
        <v>6</v>
      </c>
      <c r="D8" s="36">
        <v>1851.92</v>
      </c>
      <c r="E8" s="36" t="s">
        <v>23</v>
      </c>
      <c r="F8" s="42" cm="1">
        <f t="array" ref="F8">_xlfn.SWITCH($F$1,"USD",(_xlfn.SWITCH(E8,"USD",(D8),"MN",(D8/$E$2))),"MN",(_xlfn.SWITCH(E8,"MN",(D8),"USD",(D8*$E$3))))</f>
        <v>1851.92</v>
      </c>
      <c r="G8" s="42" cm="1">
        <f t="array" ref="G8">_xlfn.SWITCH($F$1,"USD",(_xlfn.SWITCH(E8,"USD",(D8),"MN",(D8/$E$4))),"MN",(_xlfn.SWITCH(E8,"MN",(D8),"USD",(D8*$E$4))))</f>
        <v>1851.92</v>
      </c>
      <c r="H8" s="37">
        <v>0</v>
      </c>
      <c r="I8" s="42">
        <f t="shared" si="0"/>
        <v>1851.92</v>
      </c>
      <c r="J8" s="37">
        <v>0.15</v>
      </c>
      <c r="K8" s="43">
        <f t="shared" si="1"/>
        <v>2129.7080000000001</v>
      </c>
      <c r="L8" s="38" t="s">
        <v>45</v>
      </c>
      <c r="M8" s="36"/>
      <c r="N8" s="37"/>
    </row>
    <row r="9" spans="1:16" s="38" customFormat="1" ht="21" customHeight="1" x14ac:dyDescent="0.2">
      <c r="A9" s="48" t="s">
        <v>36</v>
      </c>
      <c r="B9" s="51" t="s">
        <v>41</v>
      </c>
      <c r="C9" s="35">
        <v>2</v>
      </c>
      <c r="D9" s="36">
        <v>2417.59</v>
      </c>
      <c r="E9" s="36" t="s">
        <v>23</v>
      </c>
      <c r="F9" s="42" cm="1">
        <f t="array" ref="F9">_xlfn.SWITCH($F$1,"USD",(_xlfn.SWITCH(E9,"USD",(D9),"MN",(D9/$E$2))),"MN",(_xlfn.SWITCH(E9,"MN",(D9),"USD",(D9*$E$3))))</f>
        <v>2417.59</v>
      </c>
      <c r="G9" s="42" cm="1">
        <f t="array" ref="G9">_xlfn.SWITCH($F$1,"USD",(_xlfn.SWITCH(E9,"USD",(D9),"MN",(D9/$E$4))),"MN",(_xlfn.SWITCH(E9,"MN",(D9),"USD",(D9*$E$4))))</f>
        <v>2417.59</v>
      </c>
      <c r="H9" s="37">
        <v>0</v>
      </c>
      <c r="I9" s="42">
        <f t="shared" si="0"/>
        <v>2417.59</v>
      </c>
      <c r="J9" s="37">
        <v>0.15</v>
      </c>
      <c r="K9" s="43">
        <f t="shared" si="1"/>
        <v>2780.2285000000002</v>
      </c>
      <c r="L9" s="38" t="s">
        <v>29</v>
      </c>
      <c r="M9" s="36"/>
      <c r="N9" s="37"/>
    </row>
    <row r="10" spans="1:16" ht="21" customHeight="1" x14ac:dyDescent="0.25">
      <c r="A10" s="46" t="s">
        <v>38</v>
      </c>
      <c r="B10" s="51" t="s">
        <v>37</v>
      </c>
      <c r="C10" s="35">
        <v>2</v>
      </c>
      <c r="D10" s="36">
        <v>2149.69</v>
      </c>
      <c r="E10" s="36" t="s">
        <v>11</v>
      </c>
      <c r="F10" s="42" cm="1">
        <f t="array" ref="F10">_xlfn.SWITCH($F$1,"USD",(_xlfn.SWITCH(E10,"USD",(D10),"MN",(D10/$E$2))),"MN",(_xlfn.SWITCH(E10,"MN",(D10),"USD",(D10*$E$3))))</f>
        <v>42763.353232000001</v>
      </c>
      <c r="G10" s="42" cm="1">
        <f t="array" ref="G10">_xlfn.SWITCH($F$1,"USD",(_xlfn.SWITCH(E10,"USD",(D10),"MN",(D10/$E$4))),"MN",(_xlfn.SWITCH(E10,"MN",(D10),"USD",(D10*$E$4))))</f>
        <v>40613.663232000006</v>
      </c>
      <c r="H10" s="37">
        <v>0</v>
      </c>
      <c r="I10" s="42">
        <f t="shared" si="0"/>
        <v>40613.663232000006</v>
      </c>
      <c r="J10" s="37">
        <v>0.15</v>
      </c>
      <c r="K10" s="43">
        <f t="shared" si="1"/>
        <v>49177.856216799999</v>
      </c>
      <c r="L10" s="38" t="s">
        <v>29</v>
      </c>
      <c r="M10" s="24"/>
      <c r="N10" s="37"/>
      <c r="O10" s="38"/>
      <c r="P10" s="38"/>
    </row>
    <row r="11" spans="1:16" ht="21" customHeight="1" x14ac:dyDescent="0.25">
      <c r="A11" s="46" t="s">
        <v>40</v>
      </c>
      <c r="B11" s="51" t="s">
        <v>39</v>
      </c>
      <c r="C11" s="35">
        <v>4</v>
      </c>
      <c r="D11" s="36">
        <v>2713.73</v>
      </c>
      <c r="E11" s="36" t="s">
        <v>23</v>
      </c>
      <c r="F11" s="42" cm="1">
        <f t="array" ref="F11">_xlfn.SWITCH($F$1,"USD",(_xlfn.SWITCH(E11,"USD",(D11),"MN",(D11/$E$2))),"MN",(_xlfn.SWITCH(E11,"MN",(D11),"USD",(D11*$E$3))))</f>
        <v>2713.73</v>
      </c>
      <c r="G11" s="42" cm="1">
        <f t="array" ref="G11">_xlfn.SWITCH($F$1,"USD",(_xlfn.SWITCH(E11,"USD",(D11),"MN",(D11/$E$4))),"MN",(_xlfn.SWITCH(E11,"MN",(D11),"USD",(D11*$E$4))))</f>
        <v>2713.73</v>
      </c>
      <c r="H11" s="37">
        <v>0</v>
      </c>
      <c r="I11" s="42">
        <f t="shared" si="0"/>
        <v>2713.73</v>
      </c>
      <c r="J11" s="37">
        <v>0.15</v>
      </c>
      <c r="K11" s="43">
        <f t="shared" si="1"/>
        <v>3120.7894999999999</v>
      </c>
      <c r="L11" s="38" t="s">
        <v>29</v>
      </c>
      <c r="M11" s="24"/>
      <c r="N11" s="37"/>
      <c r="O11" s="38"/>
      <c r="P11" s="38"/>
    </row>
    <row r="12" spans="1:16" ht="21" customHeight="1" x14ac:dyDescent="0.25">
      <c r="A12" s="46" t="s">
        <v>43</v>
      </c>
      <c r="B12" s="51" t="s">
        <v>42</v>
      </c>
      <c r="C12" s="23">
        <v>5</v>
      </c>
      <c r="D12" s="24">
        <v>846.67</v>
      </c>
      <c r="E12" s="36" t="s">
        <v>23</v>
      </c>
      <c r="F12" s="42" cm="1">
        <f t="array" ref="F12">_xlfn.SWITCH($F$1,"USD",(_xlfn.SWITCH(E12,"USD",(D12),"MN",(D12/$E$2))),"MN",(_xlfn.SWITCH(E12,"MN",(D12),"USD",(D12*$E$3))))</f>
        <v>846.67</v>
      </c>
      <c r="G12" s="42" cm="1">
        <f t="array" ref="G12">_xlfn.SWITCH($F$1,"USD",(_xlfn.SWITCH(E12,"USD",(D12),"MN",(D12/$E$4))),"MN",(_xlfn.SWITCH(E12,"MN",(D12),"USD",(D12*$E$4))))</f>
        <v>846.67</v>
      </c>
      <c r="H12" s="37">
        <v>0</v>
      </c>
      <c r="I12" s="42">
        <f t="shared" si="0"/>
        <v>846.67</v>
      </c>
      <c r="J12" s="37">
        <v>0.15</v>
      </c>
      <c r="K12" s="43">
        <f t="shared" si="1"/>
        <v>973.67049999999983</v>
      </c>
      <c r="L12" s="38" t="s">
        <v>29</v>
      </c>
      <c r="M12" s="24"/>
      <c r="N12" s="37"/>
      <c r="O12" s="38"/>
      <c r="P12" s="38"/>
    </row>
    <row r="13" spans="1:16" ht="21" x14ac:dyDescent="0.25">
      <c r="A13" s="46"/>
      <c r="B13" s="47"/>
      <c r="C13" s="35"/>
      <c r="E13" s="36" t="s">
        <v>23</v>
      </c>
      <c r="F13" s="42" cm="1">
        <f t="array" ref="F13">_xlfn.SWITCH($F$1,"USD",(_xlfn.SWITCH(E13,"USD",(D13),"MN",(D13/$E$2))),"MN",(_xlfn.SWITCH(E13,"MN",(D13),"USD",(D13*$E$3))))</f>
        <v>0</v>
      </c>
      <c r="G13" s="42" cm="1">
        <f t="array" ref="G13">_xlfn.SWITCH($F$1,"USD",(_xlfn.SWITCH(E13,"USD",(D13),"MN",(D13/$E$4))),"MN",(_xlfn.SWITCH(E13,"MN",(D13),"USD",(D13*$E$4))))</f>
        <v>0</v>
      </c>
      <c r="H13" s="37">
        <v>0</v>
      </c>
      <c r="I13" s="42">
        <f t="shared" si="0"/>
        <v>0</v>
      </c>
      <c r="J13" s="37"/>
      <c r="K13" s="43">
        <f t="shared" si="1"/>
        <v>0</v>
      </c>
      <c r="L13" s="38"/>
      <c r="M13" s="24"/>
      <c r="N13" s="37"/>
      <c r="O13" s="38"/>
      <c r="P13" s="38"/>
    </row>
    <row r="14" spans="1:16" ht="21" x14ac:dyDescent="0.25">
      <c r="A14" s="46"/>
      <c r="B14" s="47"/>
      <c r="C14" s="35"/>
      <c r="E14" s="36" t="s">
        <v>23</v>
      </c>
      <c r="F14" s="42" cm="1">
        <f t="array" ref="F14">_xlfn.SWITCH($F$1,"USD",(_xlfn.SWITCH(E14,"USD",(D14),"MN",(D14/$E$2))),"MN",(_xlfn.SWITCH(E14,"MN",(D14),"USD",(D14*$E$3))))</f>
        <v>0</v>
      </c>
      <c r="G14" s="42" cm="1">
        <f t="array" ref="G14">_xlfn.SWITCH($F$1,"USD",(_xlfn.SWITCH(E14,"USD",(D14),"MN",(D14/$E$4))),"MN",(_xlfn.SWITCH(E14,"MN",(D14),"USD",(D14*$E$4))))</f>
        <v>0</v>
      </c>
      <c r="H14" s="37">
        <v>0</v>
      </c>
      <c r="I14" s="42">
        <f t="shared" si="0"/>
        <v>0</v>
      </c>
      <c r="J14" s="37"/>
      <c r="K14" s="43">
        <f t="shared" si="1"/>
        <v>0</v>
      </c>
      <c r="L14" s="38"/>
      <c r="M14" s="24"/>
      <c r="N14" s="37"/>
      <c r="O14" s="38"/>
      <c r="P14" s="38"/>
    </row>
    <row r="15" spans="1:16" ht="21" x14ac:dyDescent="0.25">
      <c r="A15" s="46"/>
      <c r="B15" s="47"/>
      <c r="C15" s="35"/>
      <c r="E15" s="36" t="s">
        <v>23</v>
      </c>
      <c r="F15" s="42" cm="1">
        <f t="array" ref="F15">_xlfn.SWITCH($F$1,"USD",(_xlfn.SWITCH(E15,"USD",(D15),"MN",(D15/$E$2))),"MN",(_xlfn.SWITCH(E15,"MN",(D15),"USD",(D15*$E$3))))</f>
        <v>0</v>
      </c>
      <c r="G15" s="42" cm="1">
        <f t="array" ref="G15">_xlfn.SWITCH($F$1,"USD",(_xlfn.SWITCH(E15,"USD",(D15),"MN",(D15/$E$4))),"MN",(_xlfn.SWITCH(E15,"MN",(D15),"USD",(D15*$E$4))))</f>
        <v>0</v>
      </c>
      <c r="H15" s="37">
        <v>0</v>
      </c>
      <c r="I15" s="42">
        <f t="shared" si="0"/>
        <v>0</v>
      </c>
      <c r="J15" s="37"/>
      <c r="K15" s="43">
        <f t="shared" si="1"/>
        <v>0</v>
      </c>
      <c r="L15" s="38"/>
      <c r="M15" s="24"/>
      <c r="N15" s="37"/>
      <c r="O15" s="38"/>
      <c r="P15" s="38"/>
    </row>
    <row r="16" spans="1:16" ht="21" x14ac:dyDescent="0.25">
      <c r="A16" s="46"/>
      <c r="B16" s="47"/>
      <c r="C16" s="35"/>
      <c r="E16" s="36" t="s">
        <v>23</v>
      </c>
      <c r="F16" s="42" cm="1">
        <f t="array" ref="F16">_xlfn.SWITCH($F$1,"USD",(_xlfn.SWITCH(E16,"USD",(D16),"MN",(D16/$E$2))),"MN",(_xlfn.SWITCH(E16,"MN",(D16),"USD",(D16*$E$3))))</f>
        <v>0</v>
      </c>
      <c r="G16" s="42" cm="1">
        <f t="array" ref="G16">_xlfn.SWITCH($F$1,"USD",(_xlfn.SWITCH(E16,"USD",(D16),"MN",(D16/$E$4))),"MN",(_xlfn.SWITCH(E16,"MN",(D16),"USD",(D16*$E$4))))</f>
        <v>0</v>
      </c>
      <c r="H16" s="37">
        <v>0</v>
      </c>
      <c r="I16" s="42">
        <f t="shared" si="0"/>
        <v>0</v>
      </c>
      <c r="J16" s="37"/>
      <c r="K16" s="43">
        <f t="shared" si="1"/>
        <v>0</v>
      </c>
      <c r="L16" s="38"/>
      <c r="M16" s="24"/>
      <c r="N16" s="37"/>
      <c r="O16" s="38"/>
      <c r="P16" s="38"/>
    </row>
    <row r="17" spans="1:16" ht="21" x14ac:dyDescent="0.25">
      <c r="A17" s="46"/>
      <c r="B17" s="47"/>
      <c r="C17" s="35"/>
      <c r="E17" s="36" t="s">
        <v>23</v>
      </c>
      <c r="F17" s="42" cm="1">
        <f t="array" ref="F17">_xlfn.SWITCH($F$1,"USD",(_xlfn.SWITCH(E17,"USD",(D17),"MN",(D17/$E$2))),"MN",(_xlfn.SWITCH(E17,"MN",(D17),"USD",(D17*$E$3))))</f>
        <v>0</v>
      </c>
      <c r="G17" s="42" cm="1">
        <f t="array" ref="G17">_xlfn.SWITCH($F$1,"USD",(_xlfn.SWITCH(E17,"USD",(D17),"MN",(D17/$E$4))),"MN",(_xlfn.SWITCH(E17,"MN",(D17),"USD",(D17*$E$4))))</f>
        <v>0</v>
      </c>
      <c r="H17" s="37">
        <v>0</v>
      </c>
      <c r="I17" s="42">
        <f t="shared" si="0"/>
        <v>0</v>
      </c>
      <c r="J17" s="37"/>
      <c r="K17" s="43">
        <f t="shared" si="1"/>
        <v>0</v>
      </c>
      <c r="L17" s="38"/>
      <c r="M17" s="24"/>
      <c r="N17" s="37"/>
      <c r="O17" s="38"/>
      <c r="P17" s="38"/>
    </row>
    <row r="18" spans="1:16" ht="21" x14ac:dyDescent="0.25">
      <c r="A18" s="46"/>
      <c r="B18" s="47"/>
      <c r="C18" s="35"/>
      <c r="E18" s="36" t="s">
        <v>23</v>
      </c>
      <c r="F18" s="42" cm="1">
        <f t="array" ref="F18">_xlfn.SWITCH($F$1,"USD",(_xlfn.SWITCH(E18,"USD",(D18),"MN",(D18/$E$2))),"MN",(_xlfn.SWITCH(E18,"MN",(D18),"USD",(D18*$E$3))))</f>
        <v>0</v>
      </c>
      <c r="G18" s="42" cm="1">
        <f t="array" ref="G18">_xlfn.SWITCH($F$1,"USD",(_xlfn.SWITCH(E18,"USD",(D18),"MN",(D18/$E$4))),"MN",(_xlfn.SWITCH(E18,"MN",(D18),"USD",(D18*$E$4))))</f>
        <v>0</v>
      </c>
      <c r="H18" s="37">
        <v>0</v>
      </c>
      <c r="I18" s="42">
        <f t="shared" si="0"/>
        <v>0</v>
      </c>
      <c r="J18" s="37"/>
      <c r="K18" s="43">
        <f t="shared" si="1"/>
        <v>0</v>
      </c>
      <c r="L18" s="38"/>
      <c r="M18" s="24"/>
      <c r="N18" s="37"/>
      <c r="O18" s="38"/>
      <c r="P18" s="38"/>
    </row>
    <row r="19" spans="1:16" ht="21" x14ac:dyDescent="0.25">
      <c r="A19" s="46"/>
      <c r="B19" s="47"/>
      <c r="C19" s="35"/>
      <c r="E19" s="36" t="s">
        <v>23</v>
      </c>
      <c r="F19" s="42" cm="1">
        <f t="array" ref="F19">_xlfn.SWITCH($F$1,"USD",(_xlfn.SWITCH(E19,"USD",(D19),"MN",(D19/$E$2))),"MN",(_xlfn.SWITCH(E19,"MN",(D19),"USD",(D19*$E$3))))</f>
        <v>0</v>
      </c>
      <c r="G19" s="42" cm="1">
        <f t="array" ref="G19">_xlfn.SWITCH($F$1,"USD",(_xlfn.SWITCH(E19,"USD",(D19),"MN",(D19/$E$4))),"MN",(_xlfn.SWITCH(E19,"MN",(D19),"USD",(D19*$E$4))))</f>
        <v>0</v>
      </c>
      <c r="H19" s="37">
        <v>0</v>
      </c>
      <c r="I19" s="42">
        <f t="shared" si="0"/>
        <v>0</v>
      </c>
      <c r="J19" s="37"/>
      <c r="K19" s="43">
        <f t="shared" si="1"/>
        <v>0</v>
      </c>
      <c r="L19" s="38"/>
      <c r="M19" s="24"/>
      <c r="N19" s="37"/>
      <c r="O19" s="38"/>
      <c r="P19" s="38"/>
    </row>
    <row r="20" spans="1:16" ht="21" x14ac:dyDescent="0.25">
      <c r="A20" s="46"/>
      <c r="B20" s="47"/>
      <c r="C20" s="35"/>
      <c r="E20" s="36" t="s">
        <v>23</v>
      </c>
      <c r="F20" s="42" cm="1">
        <f t="array" ref="F20">_xlfn.SWITCH($F$1,"USD",(_xlfn.SWITCH(E20,"USD",(D20),"MN",(D20/$E$2))),"MN",(_xlfn.SWITCH(E20,"MN",(D20),"USD",(D20*$E$3))))</f>
        <v>0</v>
      </c>
      <c r="G20" s="42" cm="1">
        <f t="array" ref="G20">_xlfn.SWITCH($F$1,"USD",(_xlfn.SWITCH(E20,"USD",(D20),"MN",(D20/$E$4))),"MN",(_xlfn.SWITCH(E20,"MN",(D20),"USD",(D20*$E$4))))</f>
        <v>0</v>
      </c>
      <c r="H20" s="37">
        <v>0</v>
      </c>
      <c r="I20" s="42">
        <f t="shared" si="0"/>
        <v>0</v>
      </c>
      <c r="J20" s="37"/>
      <c r="K20" s="43">
        <f t="shared" si="1"/>
        <v>0</v>
      </c>
      <c r="L20" s="38"/>
      <c r="M20" s="24"/>
      <c r="N20" s="37"/>
      <c r="O20" s="38"/>
      <c r="P20" s="38"/>
    </row>
    <row r="21" spans="1:16" ht="21" x14ac:dyDescent="0.25">
      <c r="A21" s="46"/>
      <c r="B21" s="47"/>
      <c r="C21" s="35"/>
      <c r="E21" s="36" t="s">
        <v>23</v>
      </c>
      <c r="F21" s="42" cm="1">
        <f t="array" ref="F21">_xlfn.SWITCH($F$1,"USD",(_xlfn.SWITCH(E21,"USD",(D21),"MN",(D21/$E$2))),"MN",(_xlfn.SWITCH(E21,"MN",(D21),"USD",(D21*$E$3))))</f>
        <v>0</v>
      </c>
      <c r="G21" s="42" cm="1">
        <f t="array" ref="G21">_xlfn.SWITCH($F$1,"USD",(_xlfn.SWITCH(E21,"USD",(D21),"MN",(D21/$E$4))),"MN",(_xlfn.SWITCH(E21,"MN",(D21),"USD",(D21*$E$4))))</f>
        <v>0</v>
      </c>
      <c r="H21" s="37">
        <v>0</v>
      </c>
      <c r="I21" s="42">
        <f t="shared" si="0"/>
        <v>0</v>
      </c>
      <c r="J21" s="37"/>
      <c r="K21" s="43">
        <f t="shared" si="1"/>
        <v>0</v>
      </c>
      <c r="L21" s="38"/>
      <c r="M21" s="24"/>
      <c r="N21" s="37"/>
      <c r="O21" s="38"/>
      <c r="P21" s="38"/>
    </row>
    <row r="22" spans="1:16" ht="21.75" customHeight="1" x14ac:dyDescent="0.25">
      <c r="A22" s="46"/>
      <c r="B22" s="47"/>
      <c r="C22" s="35"/>
      <c r="E22" s="36" t="s">
        <v>23</v>
      </c>
      <c r="F22" s="42" cm="1">
        <f t="array" ref="F22">_xlfn.SWITCH($F$1,"USD",(_xlfn.SWITCH(E22,"USD",(D22),"MN",(D22/$E$2))),"MN",(_xlfn.SWITCH(E22,"MN",(D22),"USD",(D22*$E$3))))</f>
        <v>0</v>
      </c>
      <c r="G22" s="42" cm="1">
        <f t="array" ref="G22">_xlfn.SWITCH($F$1,"USD",(_xlfn.SWITCH(E22,"USD",(D22),"MN",(D22/$E$4))),"MN",(_xlfn.SWITCH(E22,"MN",(D22),"USD",(D22*$E$4))))</f>
        <v>0</v>
      </c>
      <c r="H22" s="37">
        <v>0</v>
      </c>
      <c r="I22" s="42">
        <f t="shared" si="0"/>
        <v>0</v>
      </c>
      <c r="J22" s="37"/>
      <c r="K22" s="43">
        <f t="shared" si="1"/>
        <v>0</v>
      </c>
      <c r="L22" s="38"/>
      <c r="M22" s="24"/>
      <c r="N22" s="37"/>
      <c r="O22" s="38"/>
      <c r="P22" s="38"/>
    </row>
    <row r="23" spans="1:16" ht="21" x14ac:dyDescent="0.25">
      <c r="A23" s="46"/>
      <c r="B23" s="47"/>
      <c r="C23" s="35"/>
      <c r="E23" s="36" t="s">
        <v>23</v>
      </c>
      <c r="F23" s="42" cm="1">
        <f t="array" ref="F23">_xlfn.SWITCH($F$1,"USD",(_xlfn.SWITCH(E23,"USD",(D23),"MN",(D23/$E$2))),"MN",(_xlfn.SWITCH(E23,"MN",(D23),"USD",(D23*$E$3))))</f>
        <v>0</v>
      </c>
      <c r="G23" s="42" cm="1">
        <f t="array" ref="G23">_xlfn.SWITCH($F$1,"USD",(_xlfn.SWITCH(E23,"USD",(D23),"MN",(D23/$E$4))),"MN",(_xlfn.SWITCH(E23,"MN",(D23),"USD",(D23*$E$4))))</f>
        <v>0</v>
      </c>
      <c r="H23" s="37">
        <v>0</v>
      </c>
      <c r="I23" s="42">
        <f t="shared" si="0"/>
        <v>0</v>
      </c>
      <c r="J23" s="37"/>
      <c r="K23" s="43">
        <f t="shared" si="1"/>
        <v>0</v>
      </c>
      <c r="L23" s="38"/>
      <c r="M23" s="24"/>
      <c r="N23" s="37"/>
      <c r="O23" s="38"/>
      <c r="P23" s="38"/>
    </row>
    <row r="24" spans="1:16" ht="21" x14ac:dyDescent="0.25">
      <c r="A24" s="46"/>
      <c r="B24" s="47"/>
      <c r="C24" s="35"/>
      <c r="E24" s="36" t="s">
        <v>23</v>
      </c>
      <c r="F24" s="42" cm="1">
        <f t="array" ref="F24">_xlfn.SWITCH($F$1,"USD",(_xlfn.SWITCH(E24,"USD",(D24),"MN",(D24/$E$2))),"MN",(_xlfn.SWITCH(E24,"MN",(D24),"USD",(D24*$E$3))))</f>
        <v>0</v>
      </c>
      <c r="G24" s="42" cm="1">
        <f t="array" ref="G24">_xlfn.SWITCH($F$1,"USD",(_xlfn.SWITCH(E24,"USD",(D24),"MN",(D24/$E$4))),"MN",(_xlfn.SWITCH(E24,"MN",(D24),"USD",(D24*$E$4))))</f>
        <v>0</v>
      </c>
      <c r="H24" s="37">
        <v>0</v>
      </c>
      <c r="I24" s="42">
        <f t="shared" si="0"/>
        <v>0</v>
      </c>
      <c r="J24" s="37"/>
      <c r="K24" s="43">
        <f t="shared" si="1"/>
        <v>0</v>
      </c>
      <c r="L24" s="38"/>
      <c r="M24" s="24"/>
      <c r="N24" s="37"/>
      <c r="O24" s="38"/>
      <c r="P24" s="38"/>
    </row>
    <row r="25" spans="1:16" ht="21" x14ac:dyDescent="0.25">
      <c r="A25" s="46"/>
      <c r="B25" s="47"/>
      <c r="C25" s="35"/>
      <c r="E25" s="36" t="s">
        <v>23</v>
      </c>
      <c r="F25" s="42" cm="1">
        <f t="array" ref="F25">_xlfn.SWITCH($F$1,"USD",(_xlfn.SWITCH(E25,"USD",(D25),"MN",(D25/$E$2))),"MN",(_xlfn.SWITCH(E25,"MN",(D25),"USD",(D25*$E$3))))</f>
        <v>0</v>
      </c>
      <c r="G25" s="42" cm="1">
        <f t="array" ref="G25">_xlfn.SWITCH($F$1,"USD",(_xlfn.SWITCH(E25,"USD",(D25),"MN",(D25/$E$4))),"MN",(_xlfn.SWITCH(E25,"MN",(D25),"USD",(D25*$E$4))))</f>
        <v>0</v>
      </c>
      <c r="H25" s="37">
        <v>0</v>
      </c>
      <c r="I25" s="42">
        <f t="shared" si="0"/>
        <v>0</v>
      </c>
      <c r="J25" s="37"/>
      <c r="K25" s="43">
        <f t="shared" si="1"/>
        <v>0</v>
      </c>
      <c r="L25" s="38"/>
      <c r="M25" s="24"/>
      <c r="N25" s="37"/>
      <c r="O25" s="38"/>
      <c r="P25" s="38"/>
    </row>
    <row r="26" spans="1:16" ht="21" x14ac:dyDescent="0.25">
      <c r="A26" s="46"/>
      <c r="B26" s="47"/>
      <c r="C26" s="35"/>
      <c r="E26" s="36" t="s">
        <v>23</v>
      </c>
      <c r="F26" s="42" cm="1">
        <f t="array" ref="F26">_xlfn.SWITCH($F$1,"USD",(_xlfn.SWITCH(E26,"USD",(D26),"MN",(D26/$E$2))),"MN",(_xlfn.SWITCH(E26,"MN",(D26),"USD",(D26*$E$3))))</f>
        <v>0</v>
      </c>
      <c r="G26" s="42" cm="1">
        <f t="array" ref="G26">_xlfn.SWITCH($F$1,"USD",(_xlfn.SWITCH(E26,"USD",(D26),"MN",(D26/$E$4))),"MN",(_xlfn.SWITCH(E26,"MN",(D26),"USD",(D26*$E$4))))</f>
        <v>0</v>
      </c>
      <c r="H26" s="37">
        <v>0</v>
      </c>
      <c r="I26" s="42">
        <f t="shared" si="0"/>
        <v>0</v>
      </c>
      <c r="J26" s="37"/>
      <c r="K26" s="43">
        <f t="shared" si="1"/>
        <v>0</v>
      </c>
      <c r="L26" s="38"/>
      <c r="M26" s="24"/>
      <c r="N26" s="37"/>
      <c r="O26" s="38"/>
      <c r="P26" s="38"/>
    </row>
    <row r="27" spans="1:16" ht="21" x14ac:dyDescent="0.25">
      <c r="A27" s="46"/>
      <c r="B27" s="47"/>
      <c r="C27" s="35"/>
      <c r="E27" s="36" t="s">
        <v>23</v>
      </c>
      <c r="F27" s="42" cm="1">
        <f t="array" ref="F27">_xlfn.SWITCH($F$1,"USD",(_xlfn.SWITCH(E27,"USD",(D27),"MN",(D27/$E$2))),"MN",(_xlfn.SWITCH(E27,"MN",(D27),"USD",(D27*$E$3))))</f>
        <v>0</v>
      </c>
      <c r="G27" s="42" cm="1">
        <f t="array" ref="G27">_xlfn.SWITCH($F$1,"USD",(_xlfn.SWITCH(E27,"USD",(D27),"MN",(D27/$E$4))),"MN",(_xlfn.SWITCH(E27,"MN",(D27),"USD",(D27*$E$4))))</f>
        <v>0</v>
      </c>
      <c r="H27" s="37">
        <v>0</v>
      </c>
      <c r="I27" s="42">
        <f t="shared" si="0"/>
        <v>0</v>
      </c>
      <c r="J27" s="37"/>
      <c r="K27" s="43">
        <f t="shared" si="1"/>
        <v>0</v>
      </c>
      <c r="L27" s="38"/>
      <c r="M27" s="24"/>
      <c r="N27" s="37"/>
      <c r="O27" s="38"/>
      <c r="P27" s="38"/>
    </row>
    <row r="28" spans="1:16" ht="21" x14ac:dyDescent="0.25">
      <c r="A28" s="46"/>
      <c r="B28" s="47"/>
      <c r="C28" s="35"/>
      <c r="E28" s="36" t="s">
        <v>23</v>
      </c>
      <c r="F28" s="42" cm="1">
        <f t="array" ref="F28">_xlfn.SWITCH($F$1,"USD",(_xlfn.SWITCH(E28,"USD",(D28),"MN",(D28/$E$2))),"MN",(_xlfn.SWITCH(E28,"MN",(D28),"USD",(D28*$E$3))))</f>
        <v>0</v>
      </c>
      <c r="G28" s="42" cm="1">
        <f t="array" ref="G28">_xlfn.SWITCH($F$1,"USD",(_xlfn.SWITCH(E28,"USD",(D28),"MN",(D28/$E$4))),"MN",(_xlfn.SWITCH(E28,"MN",(D28),"USD",(D28*$E$4))))</f>
        <v>0</v>
      </c>
      <c r="H28" s="37">
        <v>0</v>
      </c>
      <c r="I28" s="42">
        <f t="shared" si="0"/>
        <v>0</v>
      </c>
      <c r="J28" s="37"/>
      <c r="K28" s="43">
        <f t="shared" si="1"/>
        <v>0</v>
      </c>
      <c r="L28" s="38"/>
      <c r="M28" s="24"/>
      <c r="N28" s="37"/>
      <c r="O28" s="38"/>
      <c r="P28" s="38"/>
    </row>
    <row r="29" spans="1:16" ht="21" x14ac:dyDescent="0.25">
      <c r="A29" s="46"/>
      <c r="B29" s="47"/>
      <c r="C29" s="35"/>
      <c r="E29" s="36" t="s">
        <v>23</v>
      </c>
      <c r="F29" s="42" cm="1">
        <f t="array" ref="F29">_xlfn.SWITCH($F$1,"USD",(_xlfn.SWITCH(E29,"USD",(D29),"MN",(D29/$E$2))),"MN",(_xlfn.SWITCH(E29,"MN",(D29),"USD",(D29*$E$3))))</f>
        <v>0</v>
      </c>
      <c r="G29" s="42" cm="1">
        <f t="array" ref="G29">_xlfn.SWITCH($F$1,"USD",(_xlfn.SWITCH(E29,"USD",(D29),"MN",(D29/$E$4))),"MN",(_xlfn.SWITCH(E29,"MN",(D29),"USD",(D29*$E$4))))</f>
        <v>0</v>
      </c>
      <c r="H29" s="37">
        <v>0</v>
      </c>
      <c r="I29" s="42">
        <f t="shared" si="0"/>
        <v>0</v>
      </c>
      <c r="J29" s="37"/>
      <c r="K29" s="43">
        <f t="shared" si="1"/>
        <v>0</v>
      </c>
      <c r="L29" s="38"/>
      <c r="M29" s="24"/>
      <c r="N29" s="37"/>
      <c r="O29" s="38"/>
      <c r="P29" s="38"/>
    </row>
    <row r="30" spans="1:16" ht="21" x14ac:dyDescent="0.25">
      <c r="A30" s="46"/>
      <c r="B30" s="47"/>
      <c r="C30" s="35"/>
      <c r="E30" s="36" t="s">
        <v>23</v>
      </c>
      <c r="F30" s="42" cm="1">
        <f t="array" ref="F30">_xlfn.SWITCH($F$1,"USD",(_xlfn.SWITCH(E30,"USD",(D30),"MN",(D30/$E$2))),"MN",(_xlfn.SWITCH(E30,"MN",(D30),"USD",(D30*$E$3))))</f>
        <v>0</v>
      </c>
      <c r="G30" s="42" cm="1">
        <f t="array" ref="G30">_xlfn.SWITCH($F$1,"USD",(_xlfn.SWITCH(E30,"USD",(D30),"MN",(D30/$E$4))),"MN",(_xlfn.SWITCH(E30,"MN",(D30),"USD",(D30*$E$4))))</f>
        <v>0</v>
      </c>
      <c r="H30" s="37">
        <v>0</v>
      </c>
      <c r="I30" s="42">
        <f t="shared" si="0"/>
        <v>0</v>
      </c>
      <c r="J30" s="37"/>
      <c r="K30" s="43">
        <f t="shared" si="1"/>
        <v>0</v>
      </c>
      <c r="L30" s="38"/>
      <c r="M30" s="24"/>
      <c r="N30" s="37"/>
      <c r="O30" s="38"/>
      <c r="P30" s="38"/>
    </row>
    <row r="31" spans="1:16" ht="21" x14ac:dyDescent="0.25">
      <c r="A31" s="46"/>
      <c r="B31" s="47"/>
      <c r="C31" s="35"/>
      <c r="E31" s="36" t="s">
        <v>23</v>
      </c>
      <c r="F31" s="42" cm="1">
        <f t="array" ref="F31">_xlfn.SWITCH($F$1,"USD",(_xlfn.SWITCH(E31,"USD",(D31),"MN",(D31/$E$2))),"MN",(_xlfn.SWITCH(E31,"MN",(D31),"USD",(D31*$E$3))))</f>
        <v>0</v>
      </c>
      <c r="G31" s="42" cm="1">
        <f t="array" ref="G31">_xlfn.SWITCH($F$1,"USD",(_xlfn.SWITCH(E31,"USD",(D31),"MN",(D31/$E$4))),"MN",(_xlfn.SWITCH(E31,"MN",(D31),"USD",(D31*$E$4))))</f>
        <v>0</v>
      </c>
      <c r="H31" s="37">
        <v>0</v>
      </c>
      <c r="I31" s="42">
        <f t="shared" si="0"/>
        <v>0</v>
      </c>
      <c r="J31" s="37"/>
      <c r="K31" s="43">
        <f t="shared" si="1"/>
        <v>0</v>
      </c>
      <c r="L31" s="38"/>
      <c r="M31" s="24"/>
      <c r="N31" s="37"/>
      <c r="O31" s="38"/>
      <c r="P31" s="38"/>
    </row>
    <row r="32" spans="1:16" ht="21" x14ac:dyDescent="0.25">
      <c r="A32" s="46"/>
      <c r="B32" s="47"/>
      <c r="C32" s="35"/>
      <c r="E32" s="36" t="s">
        <v>23</v>
      </c>
      <c r="F32" s="42" cm="1">
        <f t="array" ref="F32">_xlfn.SWITCH($F$1,"USD",(_xlfn.SWITCH(E32,"USD",(D32),"MN",(D32/$E$2))),"MN",(_xlfn.SWITCH(E32,"MN",(D32),"USD",(D32*$E$3))))</f>
        <v>0</v>
      </c>
      <c r="G32" s="42" cm="1">
        <f t="array" ref="G32">_xlfn.SWITCH($F$1,"USD",(_xlfn.SWITCH(E32,"USD",(D32),"MN",(D32/$E$4))),"MN",(_xlfn.SWITCH(E32,"MN",(D32),"USD",(D32*$E$4))))</f>
        <v>0</v>
      </c>
      <c r="H32" s="37">
        <v>0</v>
      </c>
      <c r="I32" s="42">
        <f t="shared" si="0"/>
        <v>0</v>
      </c>
      <c r="J32" s="37"/>
      <c r="K32" s="43">
        <f t="shared" si="1"/>
        <v>0</v>
      </c>
      <c r="L32" s="38"/>
      <c r="M32" s="24"/>
      <c r="N32" s="37"/>
      <c r="O32" s="38"/>
      <c r="P32" s="38"/>
    </row>
    <row r="33" spans="1:16" ht="21" x14ac:dyDescent="0.25">
      <c r="A33" s="46"/>
      <c r="B33" s="47"/>
      <c r="C33" s="35"/>
      <c r="E33" s="36" t="s">
        <v>23</v>
      </c>
      <c r="F33" s="42" cm="1">
        <f t="array" ref="F33">_xlfn.SWITCH($F$1,"USD",(_xlfn.SWITCH(E33,"USD",(D33),"MN",(D33/$E$2))),"MN",(_xlfn.SWITCH(E33,"MN",(D33),"USD",(D33*$E$3))))</f>
        <v>0</v>
      </c>
      <c r="G33" s="42" cm="1">
        <f t="array" ref="G33">_xlfn.SWITCH($F$1,"USD",(_xlfn.SWITCH(E33,"USD",(D33),"MN",(D33/$E$4))),"MN",(_xlfn.SWITCH(E33,"MN",(D33),"USD",(D33*$E$4))))</f>
        <v>0</v>
      </c>
      <c r="H33" s="37">
        <v>0</v>
      </c>
      <c r="I33" s="42">
        <f t="shared" si="0"/>
        <v>0</v>
      </c>
      <c r="J33" s="37"/>
      <c r="K33" s="43">
        <f t="shared" si="1"/>
        <v>0</v>
      </c>
      <c r="L33" s="38"/>
      <c r="M33" s="24"/>
      <c r="N33" s="37"/>
      <c r="O33" s="38"/>
      <c r="P33" s="38"/>
    </row>
    <row r="34" spans="1:16" ht="21" x14ac:dyDescent="0.25">
      <c r="A34" s="46"/>
      <c r="B34" s="47"/>
      <c r="C34" s="35"/>
      <c r="E34" s="36" t="s">
        <v>23</v>
      </c>
      <c r="F34" s="42" cm="1">
        <f t="array" ref="F34">_xlfn.SWITCH($F$1,"USD",(_xlfn.SWITCH(E34,"USD",(D34),"MN",(D34/$E$2))),"MN",(_xlfn.SWITCH(E34,"MN",(D34),"USD",(D34*$E$3))))</f>
        <v>0</v>
      </c>
      <c r="G34" s="42" cm="1">
        <f t="array" ref="G34">_xlfn.SWITCH($F$1,"USD",(_xlfn.SWITCH(E34,"USD",(D34),"MN",(D34/$E$4))),"MN",(_xlfn.SWITCH(E34,"MN",(D34),"USD",(D34*$E$4))))</f>
        <v>0</v>
      </c>
      <c r="H34" s="37">
        <v>0</v>
      </c>
      <c r="I34" s="42">
        <f t="shared" si="0"/>
        <v>0</v>
      </c>
      <c r="J34" s="37"/>
      <c r="K34" s="43">
        <f t="shared" si="1"/>
        <v>0</v>
      </c>
      <c r="L34" s="38"/>
      <c r="M34" s="24"/>
      <c r="N34" s="37"/>
      <c r="O34" s="38"/>
      <c r="P34" s="38"/>
    </row>
    <row r="35" spans="1:16" ht="21" x14ac:dyDescent="0.25">
      <c r="A35" s="46"/>
      <c r="B35" s="47"/>
      <c r="C35" s="35"/>
      <c r="E35" s="36" t="s">
        <v>23</v>
      </c>
      <c r="F35" s="42" cm="1">
        <f t="array" ref="F35">_xlfn.SWITCH($F$1,"USD",(_xlfn.SWITCH(E35,"USD",(D35),"MN",(D35/$E$2))),"MN",(_xlfn.SWITCH(E35,"MN",(D35),"USD",(D35*$E$3))))</f>
        <v>0</v>
      </c>
      <c r="G35" s="42" cm="1">
        <f t="array" ref="G35">_xlfn.SWITCH($F$1,"USD",(_xlfn.SWITCH(E35,"USD",(D35),"MN",(D35/$E$4))),"MN",(_xlfn.SWITCH(E35,"MN",(D35),"USD",(D35*$E$4))))</f>
        <v>0</v>
      </c>
      <c r="H35" s="37">
        <v>0</v>
      </c>
      <c r="I35" s="42">
        <f t="shared" si="0"/>
        <v>0</v>
      </c>
      <c r="J35" s="37"/>
      <c r="K35" s="43">
        <f t="shared" si="1"/>
        <v>0</v>
      </c>
      <c r="L35" s="38"/>
      <c r="M35" s="24"/>
      <c r="N35" s="37"/>
      <c r="O35" s="38"/>
      <c r="P35" s="38"/>
    </row>
    <row r="36" spans="1:16" ht="21" x14ac:dyDescent="0.25">
      <c r="A36" s="46"/>
      <c r="B36" s="47"/>
      <c r="C36" s="35"/>
      <c r="E36" s="36" t="s">
        <v>23</v>
      </c>
      <c r="F36" s="42" cm="1">
        <f t="array" ref="F36">_xlfn.SWITCH($F$1,"USD",(_xlfn.SWITCH(E36,"USD",(D36),"MN",(D36/$E$2))),"MN",(_xlfn.SWITCH(E36,"MN",(D36),"USD",(D36*$E$3))))</f>
        <v>0</v>
      </c>
      <c r="G36" s="42" cm="1">
        <f t="array" ref="G36">_xlfn.SWITCH($F$1,"USD",(_xlfn.SWITCH(E36,"USD",(D36),"MN",(D36/$E$4))),"MN",(_xlfn.SWITCH(E36,"MN",(D36),"USD",(D36*$E$4))))</f>
        <v>0</v>
      </c>
      <c r="H36" s="37">
        <v>0</v>
      </c>
      <c r="I36" s="42">
        <f t="shared" si="0"/>
        <v>0</v>
      </c>
      <c r="J36" s="37"/>
      <c r="K36" s="43">
        <f t="shared" si="1"/>
        <v>0</v>
      </c>
      <c r="L36" s="38"/>
      <c r="M36" s="24"/>
      <c r="N36" s="37"/>
      <c r="O36" s="38"/>
      <c r="P36" s="38"/>
    </row>
    <row r="37" spans="1:16" ht="21" x14ac:dyDescent="0.25">
      <c r="A37" s="46"/>
      <c r="B37" s="47"/>
      <c r="C37" s="35"/>
      <c r="E37" s="36" t="s">
        <v>23</v>
      </c>
      <c r="F37" s="42" cm="1">
        <f t="array" ref="F37">_xlfn.SWITCH($F$1,"USD",(_xlfn.SWITCH(E37,"USD",(D37),"MN",(D37/$E$2))),"MN",(_xlfn.SWITCH(E37,"MN",(D37),"USD",(D37*$E$3))))</f>
        <v>0</v>
      </c>
      <c r="G37" s="42" cm="1">
        <f t="array" ref="G37">_xlfn.SWITCH($F$1,"USD",(_xlfn.SWITCH(E37,"USD",(D37),"MN",(D37/$E$4))),"MN",(_xlfn.SWITCH(E37,"MN",(D37),"USD",(D37*$E$4))))</f>
        <v>0</v>
      </c>
      <c r="H37" s="37">
        <v>0</v>
      </c>
      <c r="I37" s="42">
        <f t="shared" si="0"/>
        <v>0</v>
      </c>
      <c r="J37" s="37"/>
      <c r="K37" s="43">
        <f t="shared" si="1"/>
        <v>0</v>
      </c>
      <c r="L37" s="38"/>
      <c r="M37" s="24"/>
      <c r="N37" s="37"/>
      <c r="O37" s="38"/>
      <c r="P37" s="38"/>
    </row>
    <row r="38" spans="1:16" ht="21" x14ac:dyDescent="0.25">
      <c r="A38" s="46"/>
      <c r="B38" s="47"/>
      <c r="C38" s="35"/>
      <c r="E38" s="36" t="s">
        <v>23</v>
      </c>
      <c r="F38" s="42" cm="1">
        <f t="array" ref="F38">_xlfn.SWITCH($F$1,"USD",(_xlfn.SWITCH(E38,"USD",(D38),"MN",(D38/$E$2))),"MN",(_xlfn.SWITCH(E38,"MN",(D38),"USD",(D38*$E$3))))</f>
        <v>0</v>
      </c>
      <c r="G38" s="42" cm="1">
        <f t="array" ref="G38">_xlfn.SWITCH($F$1,"USD",(_xlfn.SWITCH(E38,"USD",(D38),"MN",(D38/$E$4))),"MN",(_xlfn.SWITCH(E38,"MN",(D38),"USD",(D38*$E$4))))</f>
        <v>0</v>
      </c>
      <c r="H38" s="37">
        <v>0</v>
      </c>
      <c r="I38" s="42">
        <f t="shared" si="0"/>
        <v>0</v>
      </c>
      <c r="J38" s="37"/>
      <c r="K38" s="43">
        <f t="shared" si="1"/>
        <v>0</v>
      </c>
      <c r="L38" s="38"/>
      <c r="M38" s="24"/>
      <c r="N38" s="37"/>
      <c r="O38" s="38"/>
      <c r="P38" s="38"/>
    </row>
    <row r="39" spans="1:16" ht="21" x14ac:dyDescent="0.25">
      <c r="A39" s="46"/>
      <c r="B39" s="47"/>
      <c r="C39" s="35"/>
      <c r="E39" s="36" t="s">
        <v>23</v>
      </c>
      <c r="F39" s="42" cm="1">
        <f t="array" ref="F39">_xlfn.SWITCH($F$1,"USD",(_xlfn.SWITCH(E39,"USD",(D39),"MN",(D39/$E$2))),"MN",(_xlfn.SWITCH(E39,"MN",(D39),"USD",(D39*$E$3))))</f>
        <v>0</v>
      </c>
      <c r="G39" s="42" cm="1">
        <f t="array" ref="G39">_xlfn.SWITCH($F$1,"USD",(_xlfn.SWITCH(E39,"USD",(D39),"MN",(D39/$E$4))),"MN",(_xlfn.SWITCH(E39,"MN",(D39),"USD",(D39*$E$4))))</f>
        <v>0</v>
      </c>
      <c r="H39" s="37">
        <v>0</v>
      </c>
      <c r="I39" s="42">
        <f t="shared" si="0"/>
        <v>0</v>
      </c>
      <c r="J39" s="37"/>
      <c r="K39" s="43">
        <f t="shared" si="1"/>
        <v>0</v>
      </c>
      <c r="L39" s="38"/>
      <c r="M39" s="24"/>
      <c r="N39" s="37"/>
      <c r="O39" s="38"/>
      <c r="P39" s="38"/>
    </row>
    <row r="40" spans="1:16" ht="21" x14ac:dyDescent="0.25">
      <c r="A40" s="46"/>
      <c r="B40" s="47"/>
      <c r="C40" s="35"/>
      <c r="E40" s="36" t="s">
        <v>23</v>
      </c>
      <c r="F40" s="42" cm="1">
        <f t="array" ref="F40">_xlfn.SWITCH($F$1,"USD",(_xlfn.SWITCH(E40,"USD",(D40),"MN",(D40/$E$2))),"MN",(_xlfn.SWITCH(E40,"MN",(D40),"USD",(D40*$E$3))))</f>
        <v>0</v>
      </c>
      <c r="G40" s="42" cm="1">
        <f t="array" ref="G40">_xlfn.SWITCH($F$1,"USD",(_xlfn.SWITCH(E40,"USD",(D40),"MN",(D40/$E$4))),"MN",(_xlfn.SWITCH(E40,"MN",(D40),"USD",(D40*$E$4))))</f>
        <v>0</v>
      </c>
      <c r="H40" s="37">
        <v>0</v>
      </c>
      <c r="I40" s="42">
        <f t="shared" si="0"/>
        <v>0</v>
      </c>
      <c r="J40" s="37"/>
      <c r="K40" s="43">
        <f t="shared" si="1"/>
        <v>0</v>
      </c>
      <c r="L40" s="38"/>
      <c r="M40" s="24"/>
      <c r="N40" s="37"/>
      <c r="O40" s="38"/>
      <c r="P40" s="38"/>
    </row>
    <row r="41" spans="1:16" ht="21" x14ac:dyDescent="0.25">
      <c r="A41" s="46"/>
      <c r="B41" s="47"/>
      <c r="C41" s="35"/>
      <c r="E41" s="36" t="s">
        <v>23</v>
      </c>
      <c r="F41" s="42" cm="1">
        <f t="array" ref="F41">_xlfn.SWITCH($F$1,"USD",(_xlfn.SWITCH(E41,"USD",(D41),"MN",(D41/$E$2))),"MN",(_xlfn.SWITCH(E41,"MN",(D41),"USD",(D41*$E$3))))</f>
        <v>0</v>
      </c>
      <c r="G41" s="42" cm="1">
        <f t="array" ref="G41">_xlfn.SWITCH($F$1,"USD",(_xlfn.SWITCH(E41,"USD",(D41),"MN",(D41/$E$4))),"MN",(_xlfn.SWITCH(E41,"MN",(D41),"USD",(D41*$E$4))))</f>
        <v>0</v>
      </c>
      <c r="H41" s="37">
        <v>0</v>
      </c>
      <c r="I41" s="42">
        <f t="shared" si="0"/>
        <v>0</v>
      </c>
      <c r="J41" s="37"/>
      <c r="K41" s="43">
        <f t="shared" si="1"/>
        <v>0</v>
      </c>
      <c r="L41" s="38"/>
      <c r="M41" s="24"/>
      <c r="N41" s="37"/>
      <c r="O41" s="38"/>
      <c r="P41" s="38"/>
    </row>
    <row r="42" spans="1:16" ht="21" x14ac:dyDescent="0.25">
      <c r="A42" s="46"/>
      <c r="B42" s="47"/>
      <c r="C42" s="35"/>
      <c r="E42" s="36" t="s">
        <v>23</v>
      </c>
      <c r="F42" s="42" cm="1">
        <f t="array" ref="F42">_xlfn.SWITCH($F$1,"USD",(_xlfn.SWITCH(E42,"USD",(D42),"MN",(D42/$E$2))),"MN",(_xlfn.SWITCH(E42,"MN",(D42),"USD",(D42*$E$3))))</f>
        <v>0</v>
      </c>
      <c r="G42" s="42" cm="1">
        <f t="array" ref="G42">_xlfn.SWITCH($F$1,"USD",(_xlfn.SWITCH(E42,"USD",(D42),"MN",(D42/$E$4))),"MN",(_xlfn.SWITCH(E42,"MN",(D42),"USD",(D42*$E$4))))</f>
        <v>0</v>
      </c>
      <c r="H42" s="37">
        <v>0</v>
      </c>
      <c r="I42" s="42">
        <f t="shared" si="0"/>
        <v>0</v>
      </c>
      <c r="J42" s="37"/>
      <c r="K42" s="43">
        <f t="shared" si="1"/>
        <v>0</v>
      </c>
      <c r="L42" s="38"/>
      <c r="M42" s="24"/>
      <c r="N42" s="37"/>
      <c r="O42" s="38"/>
      <c r="P42" s="38"/>
    </row>
    <row r="43" spans="1:16" ht="21" x14ac:dyDescent="0.25">
      <c r="A43" s="46"/>
      <c r="B43" s="47"/>
      <c r="C43" s="35"/>
      <c r="E43" s="36" t="s">
        <v>23</v>
      </c>
      <c r="F43" s="42" cm="1">
        <f t="array" ref="F43">_xlfn.SWITCH($F$1,"USD",(_xlfn.SWITCH(E43,"USD",(D43),"MN",(D43/$E$2))),"MN",(_xlfn.SWITCH(E43,"MN",(D43),"USD",(D43*$E$3))))</f>
        <v>0</v>
      </c>
      <c r="G43" s="42" cm="1">
        <f t="array" ref="G43">_xlfn.SWITCH($F$1,"USD",(_xlfn.SWITCH(E43,"USD",(D43),"MN",(D43/$E$4))),"MN",(_xlfn.SWITCH(E43,"MN",(D43),"USD",(D43*$E$4))))</f>
        <v>0</v>
      </c>
      <c r="H43" s="37">
        <v>0</v>
      </c>
      <c r="I43" s="42">
        <f t="shared" si="0"/>
        <v>0</v>
      </c>
      <c r="J43" s="37"/>
      <c r="K43" s="43">
        <f t="shared" si="1"/>
        <v>0</v>
      </c>
      <c r="L43" s="38"/>
      <c r="N43" s="37"/>
      <c r="O43" s="38"/>
      <c r="P43" s="38"/>
    </row>
    <row r="44" spans="1:16" ht="21" x14ac:dyDescent="0.25">
      <c r="A44" s="46"/>
      <c r="B44" s="47"/>
      <c r="C44" s="35"/>
      <c r="E44" s="36" t="s">
        <v>23</v>
      </c>
      <c r="F44" s="42" cm="1">
        <f t="array" ref="F44">_xlfn.SWITCH($F$1,"USD",(_xlfn.SWITCH(E44,"USD",(D44),"MN",(D44/$E$2))),"MN",(_xlfn.SWITCH(E44,"MN",(D44),"USD",(D44*$E$3))))</f>
        <v>0</v>
      </c>
      <c r="G44" s="42" cm="1">
        <f t="array" ref="G44">_xlfn.SWITCH($F$1,"USD",(_xlfn.SWITCH(E44,"USD",(D44),"MN",(D44/$E$4))),"MN",(_xlfn.SWITCH(E44,"MN",(D44),"USD",(D44*$E$4))))</f>
        <v>0</v>
      </c>
      <c r="H44" s="37">
        <v>0</v>
      </c>
      <c r="I44" s="42">
        <f t="shared" si="0"/>
        <v>0</v>
      </c>
      <c r="J44" s="37"/>
      <c r="K44" s="43">
        <f t="shared" si="1"/>
        <v>0</v>
      </c>
      <c r="L44" s="38"/>
      <c r="M44" s="39"/>
      <c r="N44" s="37"/>
      <c r="O44" s="38"/>
      <c r="P44" s="38"/>
    </row>
    <row r="45" spans="1:16" ht="21" x14ac:dyDescent="0.25">
      <c r="A45" s="46"/>
      <c r="B45" s="47"/>
      <c r="C45" s="35"/>
      <c r="E45" s="36" t="s">
        <v>23</v>
      </c>
      <c r="F45" s="42" cm="1">
        <f t="array" ref="F45">_xlfn.SWITCH($F$1,"USD",(_xlfn.SWITCH(E45,"USD",(D45),"MN",(D45/$E$2))),"MN",(_xlfn.SWITCH(E45,"MN",(D45),"USD",(D45*$E$3))))</f>
        <v>0</v>
      </c>
      <c r="G45" s="42" cm="1">
        <f t="array" ref="G45">_xlfn.SWITCH($F$1,"USD",(_xlfn.SWITCH(E45,"USD",(D45),"MN",(D45/$E$4))),"MN",(_xlfn.SWITCH(E45,"MN",(D45),"USD",(D45*$E$4))))</f>
        <v>0</v>
      </c>
      <c r="H45" s="37">
        <v>0</v>
      </c>
      <c r="I45" s="42">
        <f t="shared" si="0"/>
        <v>0</v>
      </c>
      <c r="J45" s="37"/>
      <c r="K45" s="43">
        <f t="shared" si="1"/>
        <v>0</v>
      </c>
      <c r="L45" s="38"/>
      <c r="N45" s="37"/>
      <c r="O45" s="38"/>
      <c r="P45" s="38"/>
    </row>
    <row r="46" spans="1:16" ht="21" x14ac:dyDescent="0.25">
      <c r="A46" s="46"/>
      <c r="B46" s="47"/>
      <c r="C46" s="35"/>
      <c r="E46" s="36" t="s">
        <v>23</v>
      </c>
      <c r="F46" s="42" cm="1">
        <f t="array" ref="F46">_xlfn.SWITCH($F$1,"USD",(_xlfn.SWITCH(E46,"USD",(D46),"MN",(D46/$E$2))),"MN",(_xlfn.SWITCH(E46,"MN",(D46),"USD",(D46*$E$3))))</f>
        <v>0</v>
      </c>
      <c r="G46" s="42" cm="1">
        <f t="array" ref="G46">_xlfn.SWITCH($F$1,"USD",(_xlfn.SWITCH(E46,"USD",(D46),"MN",(D46/$E$4))),"MN",(_xlfn.SWITCH(E46,"MN",(D46),"USD",(D46*$E$4))))</f>
        <v>0</v>
      </c>
      <c r="H46" s="37">
        <v>0</v>
      </c>
      <c r="I46" s="42">
        <f t="shared" si="0"/>
        <v>0</v>
      </c>
      <c r="J46" s="37"/>
      <c r="K46" s="43">
        <f t="shared" si="1"/>
        <v>0</v>
      </c>
      <c r="L46" s="38"/>
      <c r="N46" s="37"/>
      <c r="O46" s="38"/>
      <c r="P46" s="38"/>
    </row>
    <row r="47" spans="1:16" ht="21" x14ac:dyDescent="0.25">
      <c r="A47" s="46"/>
      <c r="B47" s="47"/>
      <c r="C47" s="35"/>
      <c r="E47" s="36" t="s">
        <v>23</v>
      </c>
      <c r="F47" s="42" cm="1">
        <f t="array" ref="F47">_xlfn.SWITCH($F$1,"USD",(_xlfn.SWITCH(E47,"USD",(D47),"MN",(D47/$E$2))),"MN",(_xlfn.SWITCH(E47,"MN",(D47),"USD",(D47*$E$3))))</f>
        <v>0</v>
      </c>
      <c r="G47" s="42" cm="1">
        <f t="array" ref="G47">_xlfn.SWITCH($F$1,"USD",(_xlfn.SWITCH(E47,"USD",(D47),"MN",(D47/$E$4))),"MN",(_xlfn.SWITCH(E47,"MN",(D47),"USD",(D47*$E$4))))</f>
        <v>0</v>
      </c>
      <c r="H47" s="37">
        <v>0</v>
      </c>
      <c r="I47" s="42">
        <f t="shared" si="0"/>
        <v>0</v>
      </c>
      <c r="J47" s="37"/>
      <c r="K47" s="43">
        <f t="shared" si="1"/>
        <v>0</v>
      </c>
      <c r="L47" s="38"/>
      <c r="N47" s="37"/>
      <c r="O47" s="38"/>
      <c r="P47" s="38"/>
    </row>
    <row r="48" spans="1:16" ht="21" x14ac:dyDescent="0.25">
      <c r="A48" s="46"/>
      <c r="B48" s="47"/>
      <c r="C48" s="35"/>
      <c r="E48" s="36" t="s">
        <v>23</v>
      </c>
      <c r="F48" s="42" cm="1">
        <f t="array" ref="F48">_xlfn.SWITCH($F$1,"USD",(_xlfn.SWITCH(E48,"USD",(D48),"MN",(D48/$E$2))),"MN",(_xlfn.SWITCH(E48,"MN",(D48),"USD",(D48*$E$3))))</f>
        <v>0</v>
      </c>
      <c r="G48" s="42" cm="1">
        <f t="array" ref="G48">_xlfn.SWITCH($F$1,"USD",(_xlfn.SWITCH(E48,"USD",(D48),"MN",(D48/$E$4))),"MN",(_xlfn.SWITCH(E48,"MN",(D48),"USD",(D48*$E$4))))</f>
        <v>0</v>
      </c>
      <c r="H48" s="37">
        <v>0</v>
      </c>
      <c r="I48" s="42">
        <f t="shared" si="0"/>
        <v>0</v>
      </c>
      <c r="J48" s="37"/>
      <c r="K48" s="43">
        <f t="shared" si="1"/>
        <v>0</v>
      </c>
      <c r="L48" s="38"/>
      <c r="N48" s="37"/>
      <c r="O48" s="38"/>
      <c r="P48" s="38"/>
    </row>
    <row r="49" spans="1:16" ht="21" x14ac:dyDescent="0.25">
      <c r="A49" s="46"/>
      <c r="B49" s="47"/>
      <c r="C49" s="35"/>
      <c r="E49" s="36" t="s">
        <v>23</v>
      </c>
      <c r="F49" s="42" cm="1">
        <f t="array" ref="F49">_xlfn.SWITCH($F$1,"USD",(_xlfn.SWITCH(E49,"USD",(D49),"MN",(D49/$E$2))),"MN",(_xlfn.SWITCH(E49,"MN",(D49),"USD",(D49*$E$3))))</f>
        <v>0</v>
      </c>
      <c r="G49" s="42" cm="1">
        <f t="array" ref="G49">_xlfn.SWITCH($F$1,"USD",(_xlfn.SWITCH(E49,"USD",(D49),"MN",(D49/$E$4))),"MN",(_xlfn.SWITCH(E49,"MN",(D49),"USD",(D49*$E$4))))</f>
        <v>0</v>
      </c>
      <c r="H49" s="37">
        <v>0</v>
      </c>
      <c r="I49" s="42">
        <f t="shared" si="0"/>
        <v>0</v>
      </c>
      <c r="J49" s="37"/>
      <c r="K49" s="43">
        <f t="shared" si="1"/>
        <v>0</v>
      </c>
      <c r="L49" s="38"/>
      <c r="N49" s="37"/>
      <c r="O49" s="38"/>
      <c r="P49" s="38"/>
    </row>
    <row r="50" spans="1:16" ht="21" x14ac:dyDescent="0.25">
      <c r="A50" s="46"/>
      <c r="B50" s="47"/>
      <c r="C50" s="35"/>
      <c r="E50" s="36" t="s">
        <v>23</v>
      </c>
      <c r="F50" s="42" cm="1">
        <f t="array" ref="F50">_xlfn.SWITCH($F$1,"USD",(_xlfn.SWITCH(E50,"USD",(D50),"MN",(D50/$E$2))),"MN",(_xlfn.SWITCH(E50,"MN",(D50),"USD",(D50*$E$3))))</f>
        <v>0</v>
      </c>
      <c r="G50" s="42" cm="1">
        <f t="array" ref="G50">_xlfn.SWITCH($F$1,"USD",(_xlfn.SWITCH(E50,"USD",(D50),"MN",(D50/$E$4))),"MN",(_xlfn.SWITCH(E50,"MN",(D50),"USD",(D50*$E$4))))</f>
        <v>0</v>
      </c>
      <c r="H50" s="37">
        <v>0</v>
      </c>
      <c r="I50" s="42">
        <f t="shared" si="0"/>
        <v>0</v>
      </c>
      <c r="J50" s="37"/>
      <c r="K50" s="43">
        <f t="shared" si="1"/>
        <v>0</v>
      </c>
      <c r="L50" s="38"/>
      <c r="N50" s="37"/>
      <c r="O50" s="38"/>
      <c r="P50" s="38"/>
    </row>
    <row r="51" spans="1:16" ht="21" x14ac:dyDescent="0.25">
      <c r="A51" s="46"/>
      <c r="B51" s="47"/>
      <c r="C51" s="35"/>
      <c r="E51" s="36" t="s">
        <v>23</v>
      </c>
      <c r="F51" s="42" cm="1">
        <f t="array" ref="F51">_xlfn.SWITCH($F$1,"USD",(_xlfn.SWITCH(E51,"USD",(D51),"MN",(D51/$E$2))),"MN",(_xlfn.SWITCH(E51,"MN",(D51),"USD",(D51*$E$3))))</f>
        <v>0</v>
      </c>
      <c r="G51" s="42" cm="1">
        <f t="array" ref="G51">_xlfn.SWITCH($F$1,"USD",(_xlfn.SWITCH(E51,"USD",(D51),"MN",(D51/$E$4))),"MN",(_xlfn.SWITCH(E51,"MN",(D51),"USD",(D51*$E$4))))</f>
        <v>0</v>
      </c>
      <c r="H51" s="37">
        <v>0</v>
      </c>
      <c r="I51" s="42">
        <f t="shared" si="0"/>
        <v>0</v>
      </c>
      <c r="J51" s="37"/>
      <c r="K51" s="43">
        <f t="shared" si="1"/>
        <v>0</v>
      </c>
      <c r="L51" s="38"/>
      <c r="N51" s="37"/>
      <c r="O51" s="38"/>
      <c r="P51" s="38"/>
    </row>
    <row r="52" spans="1:16" ht="21" x14ac:dyDescent="0.25">
      <c r="A52" s="46"/>
      <c r="B52" s="47"/>
      <c r="C52" s="35"/>
      <c r="E52" s="36" t="s">
        <v>23</v>
      </c>
      <c r="F52" s="42" cm="1">
        <f t="array" ref="F52">_xlfn.SWITCH($F$1,"USD",(_xlfn.SWITCH(E52,"USD",(D52),"MN",(D52/$E$2))),"MN",(_xlfn.SWITCH(E52,"MN",(D52),"USD",(D52*$E$3))))</f>
        <v>0</v>
      </c>
      <c r="G52" s="42" cm="1">
        <f t="array" ref="G52">_xlfn.SWITCH($F$1,"USD",(_xlfn.SWITCH(E52,"USD",(D52),"MN",(D52/$E$4))),"MN",(_xlfn.SWITCH(E52,"MN",(D52),"USD",(D52*$E$4))))</f>
        <v>0</v>
      </c>
      <c r="H52" s="37">
        <v>0</v>
      </c>
      <c r="I52" s="42">
        <f t="shared" si="0"/>
        <v>0</v>
      </c>
      <c r="J52" s="37"/>
      <c r="K52" s="43">
        <f t="shared" si="1"/>
        <v>0</v>
      </c>
      <c r="L52" s="38"/>
      <c r="N52" s="37"/>
      <c r="O52" s="38"/>
      <c r="P52" s="38"/>
    </row>
    <row r="53" spans="1:16" ht="21" x14ac:dyDescent="0.25">
      <c r="A53" s="46"/>
      <c r="B53" s="47"/>
      <c r="C53" s="35"/>
      <c r="E53" s="36" t="s">
        <v>23</v>
      </c>
      <c r="F53" s="42" cm="1">
        <f t="array" ref="F53">_xlfn.SWITCH($F$1,"USD",(_xlfn.SWITCH(E53,"USD",(D53),"MN",(D53/$E$2))),"MN",(_xlfn.SWITCH(E53,"MN",(D53),"USD",(D53*$E$3))))</f>
        <v>0</v>
      </c>
      <c r="G53" s="42" cm="1">
        <f t="array" ref="G53">_xlfn.SWITCH($F$1,"USD",(_xlfn.SWITCH(E53,"USD",(D53),"MN",(D53/$E$4))),"MN",(_xlfn.SWITCH(E53,"MN",(D53),"USD",(D53*$E$4))))</f>
        <v>0</v>
      </c>
      <c r="H53" s="37">
        <v>0</v>
      </c>
      <c r="I53" s="42">
        <f t="shared" si="0"/>
        <v>0</v>
      </c>
      <c r="J53" s="37"/>
      <c r="K53" s="43">
        <f t="shared" si="1"/>
        <v>0</v>
      </c>
      <c r="L53" s="38"/>
      <c r="N53" s="37"/>
      <c r="O53" s="38"/>
      <c r="P53" s="38"/>
    </row>
    <row r="54" spans="1:16" ht="21" x14ac:dyDescent="0.25">
      <c r="A54" s="46"/>
      <c r="B54" s="47"/>
      <c r="C54" s="35"/>
      <c r="E54" s="36" t="s">
        <v>23</v>
      </c>
      <c r="F54" s="42" cm="1">
        <f t="array" ref="F54">_xlfn.SWITCH($F$1,"USD",(_xlfn.SWITCH(E54,"USD",(D54),"MN",(D54/$E$2))),"MN",(_xlfn.SWITCH(E54,"MN",(D54),"USD",(D54*$E$3))))</f>
        <v>0</v>
      </c>
      <c r="G54" s="42" cm="1">
        <f t="array" ref="G54">_xlfn.SWITCH($F$1,"USD",(_xlfn.SWITCH(E54,"USD",(D54),"MN",(D54/$E$4))),"MN",(_xlfn.SWITCH(E54,"MN",(D54),"USD",(D54*$E$4))))</f>
        <v>0</v>
      </c>
      <c r="H54" s="37">
        <v>0</v>
      </c>
      <c r="I54" s="42">
        <f t="shared" si="0"/>
        <v>0</v>
      </c>
      <c r="J54" s="37"/>
      <c r="K54" s="43">
        <f t="shared" si="1"/>
        <v>0</v>
      </c>
      <c r="L54" s="38"/>
      <c r="N54" s="37"/>
      <c r="O54" s="38"/>
      <c r="P54" s="38"/>
    </row>
    <row r="55" spans="1:16" ht="21" x14ac:dyDescent="0.25">
      <c r="A55" s="46"/>
      <c r="B55" s="47"/>
      <c r="C55" s="35"/>
      <c r="E55" s="36" t="s">
        <v>23</v>
      </c>
      <c r="F55" s="42" cm="1">
        <f t="array" ref="F55">_xlfn.SWITCH($F$1,"USD",(_xlfn.SWITCH(E55,"USD",(D55),"MN",(D55/$E$2))),"MN",(_xlfn.SWITCH(E55,"MN",(D55),"USD",(D55*$E$3))))</f>
        <v>0</v>
      </c>
      <c r="G55" s="42" cm="1">
        <f t="array" ref="G55">_xlfn.SWITCH($F$1,"USD",(_xlfn.SWITCH(E55,"USD",(D55),"MN",(D55/$E$4))),"MN",(_xlfn.SWITCH(E55,"MN",(D55),"USD",(D55*$E$4))))</f>
        <v>0</v>
      </c>
      <c r="H55" s="37">
        <v>0</v>
      </c>
      <c r="I55" s="42">
        <f t="shared" si="0"/>
        <v>0</v>
      </c>
      <c r="J55" s="37"/>
      <c r="K55" s="43">
        <f t="shared" si="1"/>
        <v>0</v>
      </c>
      <c r="L55" s="38"/>
      <c r="N55" s="37"/>
      <c r="O55" s="38"/>
      <c r="P55" s="38"/>
    </row>
    <row r="56" spans="1:16" ht="21" x14ac:dyDescent="0.25">
      <c r="A56" s="46"/>
      <c r="B56" s="47"/>
      <c r="C56" s="35"/>
      <c r="E56" s="36" t="s">
        <v>23</v>
      </c>
      <c r="F56" s="42" cm="1">
        <f t="array" ref="F56">_xlfn.SWITCH($F$1,"USD",(_xlfn.SWITCH(E56,"USD",(D56),"MN",(D56/$E$2))),"MN",(_xlfn.SWITCH(E56,"MN",(D56),"USD",(D56*$E$3))))</f>
        <v>0</v>
      </c>
      <c r="G56" s="42" cm="1">
        <f t="array" ref="G56">_xlfn.SWITCH($F$1,"USD",(_xlfn.SWITCH(E56,"USD",(D56),"MN",(D56/$E$4))),"MN",(_xlfn.SWITCH(E56,"MN",(D56),"USD",(D56*$E$4))))</f>
        <v>0</v>
      </c>
      <c r="H56" s="37">
        <v>0</v>
      </c>
      <c r="I56" s="42">
        <f t="shared" si="0"/>
        <v>0</v>
      </c>
      <c r="J56" s="37"/>
      <c r="K56" s="43">
        <f t="shared" si="1"/>
        <v>0</v>
      </c>
      <c r="L56" s="38"/>
      <c r="N56" s="37"/>
      <c r="O56" s="38"/>
      <c r="P56" s="38"/>
    </row>
    <row r="57" spans="1:16" ht="21" x14ac:dyDescent="0.25">
      <c r="A57" s="46"/>
      <c r="B57" s="47"/>
      <c r="C57" s="35"/>
      <c r="E57" s="36" t="s">
        <v>23</v>
      </c>
      <c r="F57" s="42" cm="1">
        <f t="array" ref="F57">_xlfn.SWITCH($F$1,"USD",(_xlfn.SWITCH(E57,"USD",(D57),"MN",(D57/$E$2))),"MN",(_xlfn.SWITCH(E57,"MN",(D57),"USD",(D57*$E$3))))</f>
        <v>0</v>
      </c>
      <c r="G57" s="42" cm="1">
        <f t="array" ref="G57">_xlfn.SWITCH($F$1,"USD",(_xlfn.SWITCH(E57,"USD",(D57),"MN",(D57/$E$4))),"MN",(_xlfn.SWITCH(E57,"MN",(D57),"USD",(D57*$E$4))))</f>
        <v>0</v>
      </c>
      <c r="H57" s="37">
        <v>0</v>
      </c>
      <c r="I57" s="42">
        <f t="shared" si="0"/>
        <v>0</v>
      </c>
      <c r="J57" s="37"/>
      <c r="K57" s="43">
        <f t="shared" si="1"/>
        <v>0</v>
      </c>
      <c r="L57" s="38"/>
      <c r="N57" s="37"/>
      <c r="O57" s="38"/>
      <c r="P57" s="38"/>
    </row>
    <row r="58" spans="1:16" ht="21" x14ac:dyDescent="0.25">
      <c r="A58" s="46"/>
      <c r="B58" s="47"/>
      <c r="C58" s="35"/>
      <c r="E58" s="36" t="s">
        <v>23</v>
      </c>
      <c r="F58" s="42" cm="1">
        <f t="array" ref="F58">_xlfn.SWITCH($F$1,"USD",(_xlfn.SWITCH(E58,"USD",(D58),"MN",(D58/$E$2))),"MN",(_xlfn.SWITCH(E58,"MN",(D58),"USD",(D58*$E$3))))</f>
        <v>0</v>
      </c>
      <c r="G58" s="42" cm="1">
        <f t="array" ref="G58">_xlfn.SWITCH($F$1,"USD",(_xlfn.SWITCH(E58,"USD",(D58),"MN",(D58/$E$4))),"MN",(_xlfn.SWITCH(E58,"MN",(D58),"USD",(D58*$E$4))))</f>
        <v>0</v>
      </c>
      <c r="H58" s="37">
        <v>0</v>
      </c>
      <c r="I58" s="42">
        <f t="shared" si="0"/>
        <v>0</v>
      </c>
      <c r="J58" s="37"/>
      <c r="K58" s="43">
        <f t="shared" si="1"/>
        <v>0</v>
      </c>
      <c r="L58" s="38"/>
      <c r="N58" s="37"/>
      <c r="O58" s="38"/>
      <c r="P58" s="38"/>
    </row>
    <row r="59" spans="1:16" ht="21" x14ac:dyDescent="0.25">
      <c r="A59" s="46"/>
      <c r="B59" s="47"/>
      <c r="C59" s="35"/>
      <c r="E59" s="36" t="s">
        <v>23</v>
      </c>
      <c r="F59" s="42" cm="1">
        <f t="array" ref="F59">_xlfn.SWITCH($F$1,"USD",(_xlfn.SWITCH(E59,"USD",(D59),"MN",(D59/$E$2))),"MN",(_xlfn.SWITCH(E59,"MN",(D59),"USD",(D59*$E$3))))</f>
        <v>0</v>
      </c>
      <c r="G59" s="42" cm="1">
        <f t="array" ref="G59">_xlfn.SWITCH($F$1,"USD",(_xlfn.SWITCH(E59,"USD",(D59),"MN",(D59/$E$4))),"MN",(_xlfn.SWITCH(E59,"MN",(D59),"USD",(D59*$E$4))))</f>
        <v>0</v>
      </c>
      <c r="H59" s="37">
        <v>0</v>
      </c>
      <c r="I59" s="42">
        <f t="shared" si="0"/>
        <v>0</v>
      </c>
      <c r="J59" s="37"/>
      <c r="K59" s="43">
        <f t="shared" si="1"/>
        <v>0</v>
      </c>
      <c r="L59" s="38"/>
      <c r="N59" s="37"/>
      <c r="O59" s="38"/>
      <c r="P59" s="38"/>
    </row>
    <row r="60" spans="1:16" ht="21" x14ac:dyDescent="0.25">
      <c r="A60" s="46"/>
      <c r="B60" s="47"/>
      <c r="C60" s="35"/>
      <c r="E60" s="36" t="s">
        <v>23</v>
      </c>
      <c r="F60" s="42" cm="1">
        <f t="array" ref="F60">_xlfn.SWITCH($F$1,"USD",(_xlfn.SWITCH(E60,"USD",(D60),"MN",(D60/$E$2))),"MN",(_xlfn.SWITCH(E60,"MN",(D60),"USD",(D60*$E$3))))</f>
        <v>0</v>
      </c>
      <c r="G60" s="42" cm="1">
        <f t="array" ref="G60">_xlfn.SWITCH($F$1,"USD",(_xlfn.SWITCH(E60,"USD",(D60),"MN",(D60/$E$4))),"MN",(_xlfn.SWITCH(E60,"MN",(D60),"USD",(D60*$E$4))))</f>
        <v>0</v>
      </c>
      <c r="H60" s="37">
        <v>0</v>
      </c>
      <c r="I60" s="42">
        <f t="shared" si="0"/>
        <v>0</v>
      </c>
      <c r="J60" s="37"/>
      <c r="K60" s="43">
        <f t="shared" si="1"/>
        <v>0</v>
      </c>
      <c r="L60" s="38"/>
      <c r="N60" s="37"/>
      <c r="O60" s="38"/>
      <c r="P60" s="38"/>
    </row>
    <row r="61" spans="1:16" ht="21" x14ac:dyDescent="0.25">
      <c r="A61" s="46"/>
      <c r="B61" s="47"/>
      <c r="C61" s="35"/>
      <c r="E61" s="36" t="s">
        <v>23</v>
      </c>
      <c r="F61" s="42" cm="1">
        <f t="array" ref="F61">_xlfn.SWITCH($F$1,"USD",(_xlfn.SWITCH(E61,"USD",(D61),"MN",(D61/$E$2))),"MN",(_xlfn.SWITCH(E61,"MN",(D61),"USD",(D61*$E$3))))</f>
        <v>0</v>
      </c>
      <c r="G61" s="42" cm="1">
        <f t="array" ref="G61">_xlfn.SWITCH($F$1,"USD",(_xlfn.SWITCH(E61,"USD",(D61),"MN",(D61/$E$4))),"MN",(_xlfn.SWITCH(E61,"MN",(D61),"USD",(D61*$E$4))))</f>
        <v>0</v>
      </c>
      <c r="H61" s="37">
        <v>0</v>
      </c>
      <c r="I61" s="42">
        <f t="shared" si="0"/>
        <v>0</v>
      </c>
      <c r="J61" s="37"/>
      <c r="K61" s="43">
        <f t="shared" si="1"/>
        <v>0</v>
      </c>
      <c r="L61" s="38"/>
      <c r="N61" s="37"/>
      <c r="O61" s="38"/>
      <c r="P61" s="38"/>
    </row>
    <row r="62" spans="1:16" ht="21" x14ac:dyDescent="0.25">
      <c r="A62" s="46"/>
      <c r="B62" s="47"/>
      <c r="C62" s="35"/>
      <c r="E62" s="36" t="s">
        <v>23</v>
      </c>
      <c r="F62" s="42" cm="1">
        <f t="array" ref="F62">_xlfn.SWITCH($F$1,"USD",(_xlfn.SWITCH(E62,"USD",(D62),"MN",(D62/$E$2))),"MN",(_xlfn.SWITCH(E62,"MN",(D62),"USD",(D62*$E$3))))</f>
        <v>0</v>
      </c>
      <c r="G62" s="42" cm="1">
        <f t="array" ref="G62">_xlfn.SWITCH($F$1,"USD",(_xlfn.SWITCH(E62,"USD",(D62),"MN",(D62/$E$4))),"MN",(_xlfn.SWITCH(E62,"MN",(D62),"USD",(D62*$E$4))))</f>
        <v>0</v>
      </c>
      <c r="H62" s="37">
        <v>0</v>
      </c>
      <c r="I62" s="42">
        <f t="shared" si="0"/>
        <v>0</v>
      </c>
      <c r="J62" s="37"/>
      <c r="K62" s="43">
        <f t="shared" si="1"/>
        <v>0</v>
      </c>
      <c r="N62" s="37"/>
      <c r="O62" s="38"/>
      <c r="P62" s="38"/>
    </row>
    <row r="63" spans="1:16" ht="21" x14ac:dyDescent="0.25">
      <c r="A63" s="46"/>
      <c r="B63" s="47"/>
      <c r="C63" s="35"/>
      <c r="E63" s="36" t="s">
        <v>23</v>
      </c>
      <c r="F63" s="42" cm="1">
        <f t="array" ref="F63">_xlfn.SWITCH($F$1,"USD",(_xlfn.SWITCH(E63,"USD",(D63),"MN",(D63/$E$2))),"MN",(_xlfn.SWITCH(E63,"MN",(D63),"USD",(D63*$E$3))))</f>
        <v>0</v>
      </c>
      <c r="G63" s="42" cm="1">
        <f t="array" ref="G63">_xlfn.SWITCH($F$1,"USD",(_xlfn.SWITCH(E63,"USD",(D63),"MN",(D63/$E$4))),"MN",(_xlfn.SWITCH(E63,"MN",(D63),"USD",(D63*$E$4))))</f>
        <v>0</v>
      </c>
      <c r="H63" s="37">
        <v>0</v>
      </c>
      <c r="I63" s="42">
        <f t="shared" si="0"/>
        <v>0</v>
      </c>
      <c r="J63" s="37"/>
      <c r="K63" s="43">
        <f t="shared" si="1"/>
        <v>0</v>
      </c>
      <c r="N63" s="37"/>
      <c r="O63" s="38"/>
      <c r="P63" s="38"/>
    </row>
    <row r="64" spans="1:16" ht="21" x14ac:dyDescent="0.25">
      <c r="A64" s="46"/>
      <c r="B64" s="47"/>
      <c r="C64" s="35"/>
      <c r="E64" s="36" t="s">
        <v>23</v>
      </c>
      <c r="F64" s="42" cm="1">
        <f t="array" ref="F64">_xlfn.SWITCH($F$1,"USD",(_xlfn.SWITCH(E64,"USD",(D64),"MN",(D64/$E$2))),"MN",(_xlfn.SWITCH(E64,"MN",(D64),"USD",(D64*$E$3))))</f>
        <v>0</v>
      </c>
      <c r="G64" s="42" cm="1">
        <f t="array" ref="G64">_xlfn.SWITCH($F$1,"USD",(_xlfn.SWITCH(E64,"USD",(D64),"MN",(D64/$E$4))),"MN",(_xlfn.SWITCH(E64,"MN",(D64),"USD",(D64*$E$4))))</f>
        <v>0</v>
      </c>
      <c r="H64" s="37">
        <v>0</v>
      </c>
      <c r="I64" s="42">
        <f t="shared" si="0"/>
        <v>0</v>
      </c>
      <c r="J64" s="37"/>
      <c r="K64" s="43">
        <f t="shared" si="1"/>
        <v>0</v>
      </c>
      <c r="N64" s="37"/>
      <c r="O64" s="38"/>
    </row>
    <row r="65" spans="1:14" ht="21" x14ac:dyDescent="0.25">
      <c r="A65" s="46"/>
      <c r="B65" s="47"/>
      <c r="C65" s="35"/>
      <c r="E65" s="36" t="s">
        <v>23</v>
      </c>
      <c r="F65" s="42" cm="1">
        <f t="array" ref="F65">_xlfn.SWITCH($F$1,"USD",(_xlfn.SWITCH(E65,"USD",(D65),"MN",(D65/$E$2))),"MN",(_xlfn.SWITCH(E65,"MN",(D65),"USD",(D65*$E$3))))</f>
        <v>0</v>
      </c>
      <c r="G65" s="42" cm="1">
        <f t="array" ref="G65">_xlfn.SWITCH($F$1,"USD",(_xlfn.SWITCH(E65,"USD",(D65),"MN",(D65/$E$4))),"MN",(_xlfn.SWITCH(E65,"MN",(D65),"USD",(D65*$E$4))))</f>
        <v>0</v>
      </c>
      <c r="H65" s="37">
        <v>0</v>
      </c>
      <c r="I65" s="42">
        <f t="shared" si="0"/>
        <v>0</v>
      </c>
      <c r="J65" s="37"/>
      <c r="K65" s="43">
        <f t="shared" si="1"/>
        <v>0</v>
      </c>
      <c r="N65" s="37"/>
    </row>
    <row r="66" spans="1:14" ht="21" x14ac:dyDescent="0.25">
      <c r="A66" s="46"/>
      <c r="B66" s="47"/>
      <c r="C66" s="35"/>
      <c r="E66" s="36" t="s">
        <v>23</v>
      </c>
      <c r="F66" s="42" cm="1">
        <f t="array" ref="F66">_xlfn.SWITCH($F$1,"USD",(_xlfn.SWITCH(E66,"USD",(D66),"MN",(D66/$E$2))),"MN",(_xlfn.SWITCH(E66,"MN",(D66),"USD",(D66*$E$3))))</f>
        <v>0</v>
      </c>
      <c r="G66" s="42" cm="1">
        <f t="array" ref="G66">_xlfn.SWITCH($F$1,"USD",(_xlfn.SWITCH(E66,"USD",(D66),"MN",(D66/$E$4))),"MN",(_xlfn.SWITCH(E66,"MN",(D66),"USD",(D66*$E$4))))</f>
        <v>0</v>
      </c>
      <c r="H66" s="37">
        <v>0</v>
      </c>
      <c r="I66" s="42">
        <f t="shared" si="0"/>
        <v>0</v>
      </c>
      <c r="J66" s="37"/>
      <c r="K66" s="43">
        <f t="shared" si="1"/>
        <v>0</v>
      </c>
      <c r="N66" s="37"/>
    </row>
    <row r="67" spans="1:14" ht="21" x14ac:dyDescent="0.25">
      <c r="A67" s="46"/>
      <c r="B67" s="47"/>
      <c r="C67" s="35"/>
      <c r="E67" s="36" t="s">
        <v>23</v>
      </c>
      <c r="F67" s="42" cm="1">
        <f t="array" ref="F67">_xlfn.SWITCH($F$1,"USD",(_xlfn.SWITCH(E67,"USD",(D67),"MN",(D67/$E$2))),"MN",(_xlfn.SWITCH(E67,"MN",(D67),"USD",(D67*$E$3))))</f>
        <v>0</v>
      </c>
      <c r="G67" s="42" cm="1">
        <f t="array" ref="G67">_xlfn.SWITCH($F$1,"USD",(_xlfn.SWITCH(E67,"USD",(D67),"MN",(D67/$E$4))),"MN",(_xlfn.SWITCH(E67,"MN",(D67),"USD",(D67*$E$4))))</f>
        <v>0</v>
      </c>
      <c r="H67" s="37">
        <v>0</v>
      </c>
      <c r="I67" s="42">
        <f t="shared" si="0"/>
        <v>0</v>
      </c>
      <c r="J67" s="37"/>
      <c r="K67" s="43">
        <f t="shared" si="1"/>
        <v>0</v>
      </c>
      <c r="N67" s="37"/>
    </row>
    <row r="68" spans="1:14" x14ac:dyDescent="0.25">
      <c r="C68" s="35"/>
      <c r="E68" s="36" t="s">
        <v>23</v>
      </c>
      <c r="F68" s="42" cm="1">
        <f t="array" ref="F68">_xlfn.SWITCH($F$1,"USD",(_xlfn.SWITCH(E68,"USD",(D68),"MN",(D68/$E$2))),"MN",(_xlfn.SWITCH(E68,"MN",(D68),"USD",(D68*$E$3))))</f>
        <v>0</v>
      </c>
      <c r="G68" s="42" cm="1">
        <f t="array" ref="G68">_xlfn.SWITCH($F$1,"USD",(_xlfn.SWITCH(E68,"USD",(D68),"MN",(D68/$E$4))),"MN",(_xlfn.SWITCH(E68,"MN",(D68),"USD",(D68*$E$4))))</f>
        <v>0</v>
      </c>
      <c r="H68" s="37">
        <v>0</v>
      </c>
      <c r="I68" s="42">
        <f t="shared" si="0"/>
        <v>0</v>
      </c>
      <c r="J68" s="37"/>
      <c r="K68" s="43">
        <f t="shared" si="1"/>
        <v>0</v>
      </c>
      <c r="N68" s="37"/>
    </row>
    <row r="69" spans="1:14" x14ac:dyDescent="0.25">
      <c r="C69" s="35"/>
      <c r="E69" s="36" t="s">
        <v>23</v>
      </c>
      <c r="F69" s="42" cm="1">
        <f t="array" ref="F69">_xlfn.SWITCH($F$1,"USD",(_xlfn.SWITCH(E69,"USD",(D69),"MN",(D69/$E$2))),"MN",(_xlfn.SWITCH(E69,"MN",(D69),"USD",(D69*$E$3))))</f>
        <v>0</v>
      </c>
      <c r="G69" s="42" cm="1">
        <f t="array" ref="G69">_xlfn.SWITCH($F$1,"USD",(_xlfn.SWITCH(E69,"USD",(D69),"MN",(D69/$E$4))),"MN",(_xlfn.SWITCH(E69,"MN",(D69),"USD",(D69*$E$4))))</f>
        <v>0</v>
      </c>
      <c r="H69" s="37">
        <v>0</v>
      </c>
      <c r="I69" s="42">
        <f t="shared" si="0"/>
        <v>0</v>
      </c>
      <c r="J69" s="37"/>
      <c r="K69" s="43">
        <f t="shared" si="1"/>
        <v>0</v>
      </c>
      <c r="N69" s="37"/>
    </row>
    <row r="70" spans="1:14" x14ac:dyDescent="0.25">
      <c r="C70" s="35"/>
      <c r="E70" s="36" t="s">
        <v>23</v>
      </c>
      <c r="F70" s="42" cm="1">
        <f t="array" ref="F70">_xlfn.SWITCH($F$1,"USD",(_xlfn.SWITCH(E70,"USD",(D70),"MN",(D70/$E$2))),"MN",(_xlfn.SWITCH(E70,"MN",(D70),"USD",(D70*$E$3))))</f>
        <v>0</v>
      </c>
      <c r="G70" s="42" cm="1">
        <f t="array" ref="G70">_xlfn.SWITCH($F$1,"USD",(_xlfn.SWITCH(E70,"USD",(D70),"MN",(D70/$E$4))),"MN",(_xlfn.SWITCH(E70,"MN",(D70),"USD",(D70*$E$4))))</f>
        <v>0</v>
      </c>
      <c r="H70" s="37">
        <v>0</v>
      </c>
      <c r="I70" s="42">
        <f t="shared" si="0"/>
        <v>0</v>
      </c>
      <c r="J70" s="37"/>
      <c r="K70" s="43">
        <f t="shared" si="1"/>
        <v>0</v>
      </c>
      <c r="N70" s="37"/>
    </row>
    <row r="71" spans="1:14" x14ac:dyDescent="0.25">
      <c r="C71" s="35"/>
      <c r="E71" s="36" t="s">
        <v>23</v>
      </c>
      <c r="F71" s="42" cm="1">
        <f t="array" ref="F71">_xlfn.SWITCH($F$1,"USD",(_xlfn.SWITCH(E71,"USD",(D71),"MN",(D71/$E$2))),"MN",(_xlfn.SWITCH(E71,"MN",(D71),"USD",(D71*$E$3))))</f>
        <v>0</v>
      </c>
      <c r="G71" s="42" cm="1">
        <f t="array" ref="G71">_xlfn.SWITCH($F$1,"USD",(_xlfn.SWITCH(E71,"USD",(D71),"MN",(D71/$E$4))),"MN",(_xlfn.SWITCH(E71,"MN",(D71),"USD",(D71*$E$4))))</f>
        <v>0</v>
      </c>
      <c r="H71" s="37">
        <v>0</v>
      </c>
      <c r="I71" s="42">
        <f t="shared" ref="I71:I105" si="2">+G71*(1-H71)</f>
        <v>0</v>
      </c>
      <c r="J71" s="37"/>
      <c r="K71" s="43">
        <f t="shared" ref="K71:K105" si="3">+F71*(1+J71)</f>
        <v>0</v>
      </c>
      <c r="N71" s="37"/>
    </row>
    <row r="72" spans="1:14" x14ac:dyDescent="0.25">
      <c r="C72" s="35"/>
      <c r="E72" s="36" t="s">
        <v>23</v>
      </c>
      <c r="F72" s="42" cm="1">
        <f t="array" ref="F72">_xlfn.SWITCH($F$1,"USD",(_xlfn.SWITCH(E72,"USD",(D72),"MN",(D72/$E$2))),"MN",(_xlfn.SWITCH(E72,"MN",(D72),"USD",(D72*$E$3))))</f>
        <v>0</v>
      </c>
      <c r="G72" s="42" cm="1">
        <f t="array" ref="G72">_xlfn.SWITCH($F$1,"USD",(_xlfn.SWITCH(E72,"USD",(D72),"MN",(D72/$E$4))),"MN",(_xlfn.SWITCH(E72,"MN",(D72),"USD",(D72*$E$4))))</f>
        <v>0</v>
      </c>
      <c r="H72" s="37">
        <v>0</v>
      </c>
      <c r="I72" s="42">
        <f t="shared" si="2"/>
        <v>0</v>
      </c>
      <c r="J72" s="37"/>
      <c r="K72" s="43">
        <f t="shared" si="3"/>
        <v>0</v>
      </c>
      <c r="N72" s="37"/>
    </row>
    <row r="73" spans="1:14" x14ac:dyDescent="0.25">
      <c r="C73" s="35"/>
      <c r="E73" s="36" t="s">
        <v>23</v>
      </c>
      <c r="F73" s="42" cm="1">
        <f t="array" ref="F73">_xlfn.SWITCH($F$1,"USD",(_xlfn.SWITCH(E73,"USD",(D73),"MN",(D73/$E$2))),"MN",(_xlfn.SWITCH(E73,"MN",(D73),"USD",(D73*$E$3))))</f>
        <v>0</v>
      </c>
      <c r="G73" s="42" cm="1">
        <f t="array" ref="G73">_xlfn.SWITCH($F$1,"USD",(_xlfn.SWITCH(E73,"USD",(D73),"MN",(D73/$E$4))),"MN",(_xlfn.SWITCH(E73,"MN",(D73),"USD",(D73*$E$4))))</f>
        <v>0</v>
      </c>
      <c r="H73" s="37">
        <v>0</v>
      </c>
      <c r="I73" s="42">
        <f t="shared" si="2"/>
        <v>0</v>
      </c>
      <c r="J73" s="37"/>
      <c r="K73" s="43">
        <f t="shared" si="3"/>
        <v>0</v>
      </c>
      <c r="N73" s="37"/>
    </row>
    <row r="74" spans="1:14" x14ac:dyDescent="0.25">
      <c r="C74" s="35"/>
      <c r="E74" s="36" t="s">
        <v>23</v>
      </c>
      <c r="F74" s="42" cm="1">
        <f t="array" ref="F74">_xlfn.SWITCH($F$1,"USD",(_xlfn.SWITCH(E74,"USD",(D74),"MN",(D74/$E$2))),"MN",(_xlfn.SWITCH(E74,"MN",(D74),"USD",(D74*$E$3))))</f>
        <v>0</v>
      </c>
      <c r="G74" s="42" cm="1">
        <f t="array" ref="G74">_xlfn.SWITCH($F$1,"USD",(_xlfn.SWITCH(E74,"USD",(D74),"MN",(D74/$E$4))),"MN",(_xlfn.SWITCH(E74,"MN",(D74),"USD",(D74*$E$4))))</f>
        <v>0</v>
      </c>
      <c r="H74" s="37">
        <v>0</v>
      </c>
      <c r="I74" s="42">
        <f t="shared" si="2"/>
        <v>0</v>
      </c>
      <c r="J74" s="37"/>
      <c r="K74" s="43">
        <f t="shared" si="3"/>
        <v>0</v>
      </c>
      <c r="N74" s="37"/>
    </row>
    <row r="75" spans="1:14" x14ac:dyDescent="0.25">
      <c r="C75" s="35"/>
      <c r="E75" s="36" t="s">
        <v>23</v>
      </c>
      <c r="F75" s="42" cm="1">
        <f t="array" ref="F75">_xlfn.SWITCH($F$1,"USD",(_xlfn.SWITCH(E75,"USD",(D75),"MN",(D75/$E$2))),"MN",(_xlfn.SWITCH(E75,"MN",(D75),"USD",(D75*$E$3))))</f>
        <v>0</v>
      </c>
      <c r="G75" s="42" cm="1">
        <f t="array" ref="G75">_xlfn.SWITCH($F$1,"USD",(_xlfn.SWITCH(E75,"USD",(D75),"MN",(D75/$E$4))),"MN",(_xlfn.SWITCH(E75,"MN",(D75),"USD",(D75*$E$4))))</f>
        <v>0</v>
      </c>
      <c r="H75" s="37">
        <v>0</v>
      </c>
      <c r="I75" s="42">
        <f t="shared" si="2"/>
        <v>0</v>
      </c>
      <c r="J75" s="37"/>
      <c r="K75" s="43">
        <f t="shared" si="3"/>
        <v>0</v>
      </c>
      <c r="N75" s="37"/>
    </row>
    <row r="76" spans="1:14" x14ac:dyDescent="0.25">
      <c r="C76" s="35"/>
      <c r="E76" s="36" t="s">
        <v>23</v>
      </c>
      <c r="F76" s="42" cm="1">
        <f t="array" ref="F76">_xlfn.SWITCH($F$1,"USD",(_xlfn.SWITCH(E76,"USD",(D76),"MN",(D76/$E$2))),"MN",(_xlfn.SWITCH(E76,"MN",(D76),"USD",(D76*$E$3))))</f>
        <v>0</v>
      </c>
      <c r="G76" s="42" cm="1">
        <f t="array" ref="G76">_xlfn.SWITCH($F$1,"USD",(_xlfn.SWITCH(E76,"USD",(D76),"MN",(D76/$E$4))),"MN",(_xlfn.SWITCH(E76,"MN",(D76),"USD",(D76*$E$4))))</f>
        <v>0</v>
      </c>
      <c r="H76" s="37">
        <v>0</v>
      </c>
      <c r="I76" s="42">
        <f t="shared" si="2"/>
        <v>0</v>
      </c>
      <c r="J76" s="37"/>
      <c r="K76" s="43">
        <f t="shared" si="3"/>
        <v>0</v>
      </c>
      <c r="N76" s="37"/>
    </row>
    <row r="77" spans="1:14" x14ac:dyDescent="0.25">
      <c r="C77" s="35"/>
      <c r="E77" s="36" t="s">
        <v>23</v>
      </c>
      <c r="F77" s="42" cm="1">
        <f t="array" ref="F77">_xlfn.SWITCH($F$1,"USD",(_xlfn.SWITCH(E77,"USD",(D77),"MN",(D77/$E$2))),"MN",(_xlfn.SWITCH(E77,"MN",(D77),"USD",(D77*$E$3))))</f>
        <v>0</v>
      </c>
      <c r="G77" s="42" cm="1">
        <f t="array" ref="G77">_xlfn.SWITCH($F$1,"USD",(_xlfn.SWITCH(E77,"USD",(D77),"MN",(D77/$E$4))),"MN",(_xlfn.SWITCH(E77,"MN",(D77),"USD",(D77*$E$4))))</f>
        <v>0</v>
      </c>
      <c r="H77" s="37">
        <v>0</v>
      </c>
      <c r="I77" s="42">
        <f t="shared" si="2"/>
        <v>0</v>
      </c>
      <c r="J77" s="37"/>
      <c r="K77" s="43">
        <f t="shared" si="3"/>
        <v>0</v>
      </c>
      <c r="N77" s="37"/>
    </row>
    <row r="78" spans="1:14" x14ac:dyDescent="0.25">
      <c r="C78" s="35"/>
      <c r="E78" s="36" t="s">
        <v>23</v>
      </c>
      <c r="F78" s="42" cm="1">
        <f t="array" ref="F78">_xlfn.SWITCH($F$1,"USD",(_xlfn.SWITCH(E78,"USD",(D78),"MN",(D78/$E$2))),"MN",(_xlfn.SWITCH(E78,"MN",(D78),"USD",(D78*$E$3))))</f>
        <v>0</v>
      </c>
      <c r="G78" s="42" cm="1">
        <f t="array" ref="G78">_xlfn.SWITCH($F$1,"USD",(_xlfn.SWITCH(E78,"USD",(D78),"MN",(D78/$E$4))),"MN",(_xlfn.SWITCH(E78,"MN",(D78),"USD",(D78*$E$4))))</f>
        <v>0</v>
      </c>
      <c r="H78" s="37">
        <v>0</v>
      </c>
      <c r="I78" s="42">
        <f t="shared" si="2"/>
        <v>0</v>
      </c>
      <c r="J78" s="37"/>
      <c r="K78" s="43">
        <f t="shared" si="3"/>
        <v>0</v>
      </c>
      <c r="N78" s="37"/>
    </row>
    <row r="79" spans="1:14" x14ac:dyDescent="0.25">
      <c r="C79" s="35"/>
      <c r="E79" s="36" t="s">
        <v>23</v>
      </c>
      <c r="F79" s="42" cm="1">
        <f t="array" ref="F79">_xlfn.SWITCH($F$1,"USD",(_xlfn.SWITCH(E79,"USD",(D79),"MN",(D79/$E$2))),"MN",(_xlfn.SWITCH(E79,"MN",(D79),"USD",(D79*$E$3))))</f>
        <v>0</v>
      </c>
      <c r="G79" s="42" cm="1">
        <f t="array" ref="G79">_xlfn.SWITCH($F$1,"USD",(_xlfn.SWITCH(E79,"USD",(D79),"MN",(D79/$E$4))),"MN",(_xlfn.SWITCH(E79,"MN",(D79),"USD",(D79*$E$4))))</f>
        <v>0</v>
      </c>
      <c r="H79" s="37">
        <v>0</v>
      </c>
      <c r="I79" s="42">
        <f t="shared" si="2"/>
        <v>0</v>
      </c>
      <c r="J79" s="37"/>
      <c r="K79" s="43">
        <f t="shared" si="3"/>
        <v>0</v>
      </c>
      <c r="N79" s="37"/>
    </row>
    <row r="80" spans="1:14" x14ac:dyDescent="0.25">
      <c r="C80" s="35"/>
      <c r="E80" s="36" t="s">
        <v>23</v>
      </c>
      <c r="F80" s="42" cm="1">
        <f t="array" ref="F80">_xlfn.SWITCH($F$1,"USD",(_xlfn.SWITCH(E80,"USD",(D80),"MN",(D80/$E$2))),"MN",(_xlfn.SWITCH(E80,"MN",(D80),"USD",(D80*$E$3))))</f>
        <v>0</v>
      </c>
      <c r="G80" s="42" cm="1">
        <f t="array" ref="G80">_xlfn.SWITCH($F$1,"USD",(_xlfn.SWITCH(E80,"USD",(D80),"MN",(D80/$E$4))),"MN",(_xlfn.SWITCH(E80,"MN",(D80),"USD",(D80*$E$4))))</f>
        <v>0</v>
      </c>
      <c r="H80" s="37">
        <v>0</v>
      </c>
      <c r="I80" s="42">
        <f t="shared" si="2"/>
        <v>0</v>
      </c>
      <c r="J80" s="37"/>
      <c r="K80" s="43">
        <f t="shared" si="3"/>
        <v>0</v>
      </c>
      <c r="N80" s="37"/>
    </row>
    <row r="81" spans="3:14" x14ac:dyDescent="0.25">
      <c r="C81" s="35"/>
      <c r="E81" s="36" t="s">
        <v>23</v>
      </c>
      <c r="F81" s="42" cm="1">
        <f t="array" ref="F81">_xlfn.SWITCH($F$1,"USD",(_xlfn.SWITCH(E81,"USD",(D81),"MN",(D81/$E$2))),"MN",(_xlfn.SWITCH(E81,"MN",(D81),"USD",(D81*$E$3))))</f>
        <v>0</v>
      </c>
      <c r="G81" s="42" cm="1">
        <f t="array" ref="G81">_xlfn.SWITCH($F$1,"USD",(_xlfn.SWITCH(E81,"USD",(D81),"MN",(D81/$E$4))),"MN",(_xlfn.SWITCH(E81,"MN",(D81),"USD",(D81*$E$4))))</f>
        <v>0</v>
      </c>
      <c r="H81" s="37">
        <v>0</v>
      </c>
      <c r="I81" s="42">
        <f t="shared" si="2"/>
        <v>0</v>
      </c>
      <c r="J81" s="37"/>
      <c r="K81" s="43">
        <f t="shared" si="3"/>
        <v>0</v>
      </c>
      <c r="N81" s="37"/>
    </row>
    <row r="82" spans="3:14" x14ac:dyDescent="0.25">
      <c r="C82" s="35"/>
      <c r="E82" s="36" t="s">
        <v>23</v>
      </c>
      <c r="F82" s="42" cm="1">
        <f t="array" ref="F82">_xlfn.SWITCH($F$1,"USD",(_xlfn.SWITCH(E82,"USD",(D82),"MN",(D82/$E$2))),"MN",(_xlfn.SWITCH(E82,"MN",(D82),"USD",(D82*$E$3))))</f>
        <v>0</v>
      </c>
      <c r="G82" s="42" cm="1">
        <f t="array" ref="G82">_xlfn.SWITCH($F$1,"USD",(_xlfn.SWITCH(E82,"USD",(D82),"MN",(D82/$E$4))),"MN",(_xlfn.SWITCH(E82,"MN",(D82),"USD",(D82*$E$4))))</f>
        <v>0</v>
      </c>
      <c r="H82" s="37">
        <v>0</v>
      </c>
      <c r="I82" s="42">
        <f t="shared" si="2"/>
        <v>0</v>
      </c>
      <c r="J82" s="37"/>
      <c r="K82" s="43">
        <f t="shared" si="3"/>
        <v>0</v>
      </c>
      <c r="N82" s="37"/>
    </row>
    <row r="83" spans="3:14" x14ac:dyDescent="0.25">
      <c r="C83" s="35"/>
      <c r="E83" s="36" t="s">
        <v>23</v>
      </c>
      <c r="F83" s="42" cm="1">
        <f t="array" ref="F83">_xlfn.SWITCH($F$1,"USD",(_xlfn.SWITCH(E83,"USD",(D83),"MN",(D83/$E$2))),"MN",(_xlfn.SWITCH(E83,"MN",(D83),"USD",(D83*$E$3))))</f>
        <v>0</v>
      </c>
      <c r="G83" s="42" cm="1">
        <f t="array" ref="G83">_xlfn.SWITCH($F$1,"USD",(_xlfn.SWITCH(E83,"USD",(D83),"MN",(D83/$E$4))),"MN",(_xlfn.SWITCH(E83,"MN",(D83),"USD",(D83*$E$4))))</f>
        <v>0</v>
      </c>
      <c r="H83" s="37">
        <v>0</v>
      </c>
      <c r="I83" s="42">
        <f t="shared" si="2"/>
        <v>0</v>
      </c>
      <c r="J83" s="37"/>
      <c r="K83" s="43">
        <f t="shared" si="3"/>
        <v>0</v>
      </c>
      <c r="L83" s="22" t="s">
        <v>9</v>
      </c>
      <c r="N83" s="37"/>
    </row>
    <row r="84" spans="3:14" x14ac:dyDescent="0.25">
      <c r="C84" s="35"/>
      <c r="E84" s="36" t="s">
        <v>23</v>
      </c>
      <c r="F84" s="42" cm="1">
        <f t="array" ref="F84">_xlfn.SWITCH($F$1,"USD",(_xlfn.SWITCH(E84,"USD",(D84),"MN",(D84/$E$2))),"MN",(_xlfn.SWITCH(E84,"MN",(D84),"USD",(D84*$E$3))))</f>
        <v>0</v>
      </c>
      <c r="G84" s="42" cm="1">
        <f t="array" ref="G84">_xlfn.SWITCH($F$1,"USD",(_xlfn.SWITCH(E84,"USD",(D84),"MN",(D84/$E$4))),"MN",(_xlfn.SWITCH(E84,"MN",(D84),"USD",(D84*$E$4))))</f>
        <v>0</v>
      </c>
      <c r="H84" s="37">
        <v>0</v>
      </c>
      <c r="I84" s="42">
        <f t="shared" si="2"/>
        <v>0</v>
      </c>
      <c r="J84" s="37"/>
      <c r="K84" s="43">
        <f t="shared" si="3"/>
        <v>0</v>
      </c>
      <c r="L84" s="22" t="s">
        <v>10</v>
      </c>
      <c r="N84" s="37"/>
    </row>
    <row r="85" spans="3:14" x14ac:dyDescent="0.25">
      <c r="C85" s="35"/>
      <c r="E85" s="36" t="s">
        <v>23</v>
      </c>
      <c r="F85" s="42" cm="1">
        <f t="array" ref="F85">_xlfn.SWITCH($F$1,"USD",(_xlfn.SWITCH(E85,"USD",(D85),"MN",(D85/$E$2))),"MN",(_xlfn.SWITCH(E85,"MN",(D85),"USD",(D85*$E$3))))</f>
        <v>0</v>
      </c>
      <c r="G85" s="42" cm="1">
        <f t="array" ref="G85">_xlfn.SWITCH($F$1,"USD",(_xlfn.SWITCH(E85,"USD",(D85),"MN",(D85/$E$4))),"MN",(_xlfn.SWITCH(E85,"MN",(D85),"USD",(D85*$E$4))))</f>
        <v>0</v>
      </c>
      <c r="H85" s="37">
        <v>0</v>
      </c>
      <c r="I85" s="42">
        <f t="shared" si="2"/>
        <v>0</v>
      </c>
      <c r="J85" s="37"/>
      <c r="K85" s="43">
        <f t="shared" si="3"/>
        <v>0</v>
      </c>
      <c r="N85" s="37"/>
    </row>
    <row r="86" spans="3:14" x14ac:dyDescent="0.25">
      <c r="C86" s="35"/>
      <c r="E86" s="36" t="s">
        <v>23</v>
      </c>
      <c r="F86" s="42" cm="1">
        <f t="array" ref="F86">_xlfn.SWITCH($F$1,"USD",(_xlfn.SWITCH(E86,"USD",(D86),"MN",(D86/$E$2))),"MN",(_xlfn.SWITCH(E86,"MN",(D86),"USD",(D86*$E$3))))</f>
        <v>0</v>
      </c>
      <c r="G86" s="42" cm="1">
        <f t="array" ref="G86">_xlfn.SWITCH($F$1,"USD",(_xlfn.SWITCH(E86,"USD",(D86),"MN",(D86/$E$4))),"MN",(_xlfn.SWITCH(E86,"MN",(D86),"USD",(D86*$E$4))))</f>
        <v>0</v>
      </c>
      <c r="H86" s="37">
        <v>0</v>
      </c>
      <c r="I86" s="42">
        <f t="shared" si="2"/>
        <v>0</v>
      </c>
      <c r="J86" s="37"/>
      <c r="K86" s="43">
        <f t="shared" si="3"/>
        <v>0</v>
      </c>
      <c r="N86" s="37"/>
    </row>
    <row r="87" spans="3:14" x14ac:dyDescent="0.25">
      <c r="C87" s="35"/>
      <c r="E87" s="36" t="s">
        <v>23</v>
      </c>
      <c r="F87" s="42" cm="1">
        <f t="array" ref="F87">_xlfn.SWITCH($F$1,"USD",(_xlfn.SWITCH(E87,"USD",(D87),"MN",(D87/$E$2))),"MN",(_xlfn.SWITCH(E87,"MN",(D87),"USD",(D87*$E$3))))</f>
        <v>0</v>
      </c>
      <c r="G87" s="42" cm="1">
        <f t="array" ref="G87">_xlfn.SWITCH($F$1,"USD",(_xlfn.SWITCH(E87,"USD",(D87),"MN",(D87/$E$4))),"MN",(_xlfn.SWITCH(E87,"MN",(D87),"USD",(D87*$E$4))))</f>
        <v>0</v>
      </c>
      <c r="H87" s="37">
        <v>0</v>
      </c>
      <c r="I87" s="42">
        <f t="shared" si="2"/>
        <v>0</v>
      </c>
      <c r="J87" s="37"/>
      <c r="K87" s="43">
        <f t="shared" si="3"/>
        <v>0</v>
      </c>
      <c r="N87" s="37"/>
    </row>
    <row r="88" spans="3:14" x14ac:dyDescent="0.25">
      <c r="C88" s="35"/>
      <c r="E88" s="36" t="s">
        <v>23</v>
      </c>
      <c r="F88" s="42" cm="1">
        <f t="array" ref="F88">_xlfn.SWITCH($F$1,"USD",(_xlfn.SWITCH(E88,"USD",(D88),"MN",(D88/$E$2))),"MN",(_xlfn.SWITCH(E88,"MN",(D88),"USD",(D88*$E$3))))</f>
        <v>0</v>
      </c>
      <c r="G88" s="42" cm="1">
        <f t="array" ref="G88">_xlfn.SWITCH($F$1,"USD",(_xlfn.SWITCH(E88,"USD",(D88),"MN",(D88/$E$4))),"MN",(_xlfn.SWITCH(E88,"MN",(D88),"USD",(D88*$E$4))))</f>
        <v>0</v>
      </c>
      <c r="H88" s="37">
        <v>0</v>
      </c>
      <c r="I88" s="42">
        <f t="shared" si="2"/>
        <v>0</v>
      </c>
      <c r="J88" s="37"/>
      <c r="K88" s="43">
        <f t="shared" si="3"/>
        <v>0</v>
      </c>
      <c r="N88" s="37"/>
    </row>
    <row r="89" spans="3:14" x14ac:dyDescent="0.25">
      <c r="C89" s="35"/>
      <c r="E89" s="36" t="s">
        <v>23</v>
      </c>
      <c r="F89" s="42" cm="1">
        <f t="array" ref="F89">_xlfn.SWITCH($F$1,"USD",(_xlfn.SWITCH(E89,"USD",(D89),"MN",(D89/$E$2))),"MN",(_xlfn.SWITCH(E89,"MN",(D89),"USD",(D89*$E$3))))</f>
        <v>0</v>
      </c>
      <c r="G89" s="42" cm="1">
        <f t="array" ref="G89">_xlfn.SWITCH($F$1,"USD",(_xlfn.SWITCH(E89,"USD",(D89),"MN",(D89/$E$4))),"MN",(_xlfn.SWITCH(E89,"MN",(D89),"USD",(D89*$E$4))))</f>
        <v>0</v>
      </c>
      <c r="H89" s="37">
        <v>0</v>
      </c>
      <c r="I89" s="42">
        <f t="shared" si="2"/>
        <v>0</v>
      </c>
      <c r="J89" s="37"/>
      <c r="K89" s="43">
        <f t="shared" si="3"/>
        <v>0</v>
      </c>
      <c r="N89" s="37"/>
    </row>
    <row r="90" spans="3:14" x14ac:dyDescent="0.25">
      <c r="C90" s="35"/>
      <c r="E90" s="36" t="s">
        <v>23</v>
      </c>
      <c r="F90" s="42" cm="1">
        <f t="array" ref="F90">_xlfn.SWITCH($F$1,"USD",(_xlfn.SWITCH(E90,"USD",(D90),"MN",(D90/$E$2))),"MN",(_xlfn.SWITCH(E90,"MN",(D90),"USD",(D90*$E$3))))</f>
        <v>0</v>
      </c>
      <c r="G90" s="42" cm="1">
        <f t="array" ref="G90">_xlfn.SWITCH($F$1,"USD",(_xlfn.SWITCH(E90,"USD",(D90),"MN",(D90/$E$4))),"MN",(_xlfn.SWITCH(E90,"MN",(D90),"USD",(D90*$E$4))))</f>
        <v>0</v>
      </c>
      <c r="H90" s="37">
        <v>0</v>
      </c>
      <c r="I90" s="42">
        <f t="shared" si="2"/>
        <v>0</v>
      </c>
      <c r="J90" s="37"/>
      <c r="K90" s="43">
        <f t="shared" si="3"/>
        <v>0</v>
      </c>
      <c r="N90" s="37"/>
    </row>
    <row r="91" spans="3:14" x14ac:dyDescent="0.25">
      <c r="C91" s="35"/>
      <c r="E91" s="36" t="s">
        <v>23</v>
      </c>
      <c r="F91" s="42" cm="1">
        <f t="array" ref="F91">_xlfn.SWITCH($F$1,"USD",(_xlfn.SWITCH(E91,"USD",(D91),"MN",(D91/$E$2))),"MN",(_xlfn.SWITCH(E91,"MN",(D91),"USD",(D91*$E$3))))</f>
        <v>0</v>
      </c>
      <c r="G91" s="42" cm="1">
        <f t="array" ref="G91">_xlfn.SWITCH($F$1,"USD",(_xlfn.SWITCH(E91,"USD",(D91),"MN",(D91/$E$4))),"MN",(_xlfn.SWITCH(E91,"MN",(D91),"USD",(D91*$E$4))))</f>
        <v>0</v>
      </c>
      <c r="H91" s="37">
        <v>0</v>
      </c>
      <c r="I91" s="42">
        <f t="shared" si="2"/>
        <v>0</v>
      </c>
      <c r="J91" s="37"/>
      <c r="K91" s="43">
        <f t="shared" si="3"/>
        <v>0</v>
      </c>
      <c r="N91" s="37"/>
    </row>
    <row r="92" spans="3:14" x14ac:dyDescent="0.25">
      <c r="C92" s="35"/>
      <c r="E92" s="36" t="s">
        <v>23</v>
      </c>
      <c r="F92" s="42" cm="1">
        <f t="array" ref="F92">_xlfn.SWITCH($F$1,"USD",(_xlfn.SWITCH(E92,"USD",(D92),"MN",(D92/$E$2))),"MN",(_xlfn.SWITCH(E92,"MN",(D92),"USD",(D92*$E$3))))</f>
        <v>0</v>
      </c>
      <c r="G92" s="42" cm="1">
        <f t="array" ref="G92">_xlfn.SWITCH($F$1,"USD",(_xlfn.SWITCH(E92,"USD",(D92),"MN",(D92/$E$4))),"MN",(_xlfn.SWITCH(E92,"MN",(D92),"USD",(D92*$E$4))))</f>
        <v>0</v>
      </c>
      <c r="H92" s="37">
        <v>0</v>
      </c>
      <c r="I92" s="42">
        <f t="shared" si="2"/>
        <v>0</v>
      </c>
      <c r="J92" s="37"/>
      <c r="K92" s="43">
        <f t="shared" si="3"/>
        <v>0</v>
      </c>
      <c r="N92" s="37"/>
    </row>
    <row r="93" spans="3:14" x14ac:dyDescent="0.25">
      <c r="C93" s="35"/>
      <c r="E93" s="36" t="s">
        <v>23</v>
      </c>
      <c r="F93" s="42" cm="1">
        <f t="array" ref="F93">_xlfn.SWITCH($F$1,"USD",(_xlfn.SWITCH(E93,"USD",(D93),"MN",(D93/$E$2))),"MN",(_xlfn.SWITCH(E93,"MN",(D93),"USD",(D93*$E$3))))</f>
        <v>0</v>
      </c>
      <c r="G93" s="42" cm="1">
        <f t="array" ref="G93">_xlfn.SWITCH($F$1,"USD",(_xlfn.SWITCH(E93,"USD",(D93),"MN",(D93/$E$4))),"MN",(_xlfn.SWITCH(E93,"MN",(D93),"USD",(D93*$E$4))))</f>
        <v>0</v>
      </c>
      <c r="H93" s="37">
        <v>0</v>
      </c>
      <c r="I93" s="42">
        <f t="shared" si="2"/>
        <v>0</v>
      </c>
      <c r="J93" s="37"/>
      <c r="K93" s="43">
        <f t="shared" si="3"/>
        <v>0</v>
      </c>
      <c r="N93" s="37"/>
    </row>
    <row r="94" spans="3:14" x14ac:dyDescent="0.25">
      <c r="C94" s="35"/>
      <c r="E94" s="36" t="s">
        <v>23</v>
      </c>
      <c r="F94" s="42" cm="1">
        <f t="array" ref="F94">_xlfn.SWITCH($F$1,"USD",(_xlfn.SWITCH(E94,"USD",(D94),"MN",(D94/$E$2))),"MN",(_xlfn.SWITCH(E94,"MN",(D94),"USD",(D94*$E$3))))</f>
        <v>0</v>
      </c>
      <c r="G94" s="42" cm="1">
        <f t="array" ref="G94">_xlfn.SWITCH($F$1,"USD",(_xlfn.SWITCH(E94,"USD",(D94),"MN",(D94/$E$4))),"MN",(_xlfn.SWITCH(E94,"MN",(D94),"USD",(D94*$E$4))))</f>
        <v>0</v>
      </c>
      <c r="H94" s="37">
        <v>0</v>
      </c>
      <c r="I94" s="42">
        <f t="shared" si="2"/>
        <v>0</v>
      </c>
      <c r="J94" s="37"/>
      <c r="K94" s="43">
        <f t="shared" si="3"/>
        <v>0</v>
      </c>
      <c r="N94" s="37"/>
    </row>
    <row r="95" spans="3:14" x14ac:dyDescent="0.25">
      <c r="C95" s="35"/>
      <c r="E95" s="36" t="s">
        <v>23</v>
      </c>
      <c r="F95" s="42" cm="1">
        <f t="array" ref="F95">_xlfn.SWITCH($F$1,"USD",(_xlfn.SWITCH(E95,"USD",(D95),"MN",(D95/$E$2))),"MN",(_xlfn.SWITCH(E95,"MN",(D95),"USD",(D95*$E$3))))</f>
        <v>0</v>
      </c>
      <c r="G95" s="42" cm="1">
        <f t="array" ref="G95">_xlfn.SWITCH($F$1,"USD",(_xlfn.SWITCH(E95,"USD",(D95),"MN",(D95/$E$4))),"MN",(_xlfn.SWITCH(E95,"MN",(D95),"USD",(D95*$E$4))))</f>
        <v>0</v>
      </c>
      <c r="H95" s="37">
        <v>0</v>
      </c>
      <c r="I95" s="42">
        <f t="shared" si="2"/>
        <v>0</v>
      </c>
      <c r="J95" s="37"/>
      <c r="K95" s="43">
        <f t="shared" si="3"/>
        <v>0</v>
      </c>
      <c r="N95" s="37"/>
    </row>
    <row r="96" spans="3:14" x14ac:dyDescent="0.25">
      <c r="C96" s="35"/>
      <c r="E96" s="36" t="s">
        <v>23</v>
      </c>
      <c r="F96" s="42" cm="1">
        <f t="array" ref="F96">_xlfn.SWITCH($F$1,"USD",(_xlfn.SWITCH(E96,"USD",(D96),"MN",(D96/$E$2))),"MN",(_xlfn.SWITCH(E96,"MN",(D96),"USD",(D96*$E$3))))</f>
        <v>0</v>
      </c>
      <c r="G96" s="42" cm="1">
        <f t="array" ref="G96">_xlfn.SWITCH($F$1,"USD",(_xlfn.SWITCH(E96,"USD",(D96),"MN",(D96/$E$4))),"MN",(_xlfn.SWITCH(E96,"MN",(D96),"USD",(D96*$E$4))))</f>
        <v>0</v>
      </c>
      <c r="H96" s="37">
        <v>0</v>
      </c>
      <c r="I96" s="42">
        <f t="shared" si="2"/>
        <v>0</v>
      </c>
      <c r="J96" s="37"/>
      <c r="K96" s="43">
        <f t="shared" si="3"/>
        <v>0</v>
      </c>
      <c r="N96" s="37"/>
    </row>
    <row r="97" spans="3:14" x14ac:dyDescent="0.25">
      <c r="C97" s="35"/>
      <c r="E97" s="36" t="s">
        <v>23</v>
      </c>
      <c r="F97" s="42" cm="1">
        <f t="array" ref="F97">_xlfn.SWITCH($F$1,"USD",(_xlfn.SWITCH(E97,"USD",(D97),"MN",(D97/$E$2))),"MN",(_xlfn.SWITCH(E97,"MN",(D97),"USD",(D97*$E$3))))</f>
        <v>0</v>
      </c>
      <c r="G97" s="42" cm="1">
        <f t="array" ref="G97">_xlfn.SWITCH($F$1,"USD",(_xlfn.SWITCH(E97,"USD",(D97),"MN",(D97/$E$4))),"MN",(_xlfn.SWITCH(E97,"MN",(D97),"USD",(D97*$E$4))))</f>
        <v>0</v>
      </c>
      <c r="H97" s="37">
        <v>0</v>
      </c>
      <c r="I97" s="42">
        <f t="shared" si="2"/>
        <v>0</v>
      </c>
      <c r="J97" s="37"/>
      <c r="K97" s="43">
        <f t="shared" si="3"/>
        <v>0</v>
      </c>
      <c r="N97" s="37"/>
    </row>
    <row r="98" spans="3:14" x14ac:dyDescent="0.25">
      <c r="E98" s="36" t="s">
        <v>23</v>
      </c>
      <c r="F98" s="42" cm="1">
        <f t="array" ref="F98">_xlfn.SWITCH($F$1,"USD",(_xlfn.SWITCH(E98,"USD",(D98),"MN",(D98/$E$2))),"MN",(_xlfn.SWITCH(E98,"MN",(D98),"USD",(D98*$E$3))))</f>
        <v>0</v>
      </c>
      <c r="G98" s="42" cm="1">
        <f t="array" ref="G98">_xlfn.SWITCH($F$1,"USD",(_xlfn.SWITCH(E98,"USD",(D98),"MN",(D98/$E$4))),"MN",(_xlfn.SWITCH(E98,"MN",(D98),"USD",(D98*$E$4))))</f>
        <v>0</v>
      </c>
      <c r="H98" s="37">
        <v>0</v>
      </c>
      <c r="I98" s="42">
        <f t="shared" si="2"/>
        <v>0</v>
      </c>
      <c r="J98" s="37"/>
      <c r="K98" s="43">
        <f t="shared" si="3"/>
        <v>0</v>
      </c>
      <c r="N98" s="37"/>
    </row>
    <row r="99" spans="3:14" x14ac:dyDescent="0.25">
      <c r="E99" s="36" t="s">
        <v>23</v>
      </c>
      <c r="F99" s="42" cm="1">
        <f t="array" ref="F99">_xlfn.SWITCH($F$1,"USD",(_xlfn.SWITCH(E99,"USD",(D99),"MN",(D99/$E$2))),"MN",(_xlfn.SWITCH(E99,"MN",(D99),"USD",(D99*$E$3))))</f>
        <v>0</v>
      </c>
      <c r="G99" s="42" cm="1">
        <f t="array" ref="G99">_xlfn.SWITCH($F$1,"USD",(_xlfn.SWITCH(E99,"USD",(D99),"MN",(D99/$E$4))),"MN",(_xlfn.SWITCH(E99,"MN",(D99),"USD",(D99*$E$4))))</f>
        <v>0</v>
      </c>
      <c r="H99" s="37">
        <v>0</v>
      </c>
      <c r="I99" s="42">
        <f t="shared" si="2"/>
        <v>0</v>
      </c>
      <c r="J99" s="37"/>
      <c r="K99" s="43">
        <f t="shared" si="3"/>
        <v>0</v>
      </c>
      <c r="N99" s="37"/>
    </row>
    <row r="100" spans="3:14" x14ac:dyDescent="0.25">
      <c r="E100" s="36" t="s">
        <v>23</v>
      </c>
      <c r="F100" s="42" cm="1">
        <f t="array" ref="F100">_xlfn.SWITCH($F$1,"USD",(_xlfn.SWITCH(E100,"USD",(D100),"MN",(D100/$E$2))),"MN",(_xlfn.SWITCH(E100,"MN",(D100),"USD",(D100*$E$3))))</f>
        <v>0</v>
      </c>
      <c r="G100" s="42" cm="1">
        <f t="array" ref="G100">_xlfn.SWITCH($F$1,"USD",(_xlfn.SWITCH(E100,"USD",(D100),"MN",(D100/$E$4))),"MN",(_xlfn.SWITCH(E100,"MN",(D100),"USD",(D100*$E$4))))</f>
        <v>0</v>
      </c>
      <c r="H100" s="37">
        <v>0</v>
      </c>
      <c r="I100" s="42">
        <f t="shared" si="2"/>
        <v>0</v>
      </c>
      <c r="J100" s="37"/>
      <c r="K100" s="43">
        <f t="shared" si="3"/>
        <v>0</v>
      </c>
      <c r="N100" s="37"/>
    </row>
    <row r="101" spans="3:14" x14ac:dyDescent="0.25">
      <c r="E101" s="36" t="s">
        <v>23</v>
      </c>
      <c r="F101" s="42" cm="1">
        <f t="array" ref="F101">_xlfn.SWITCH($F$1,"USD",(_xlfn.SWITCH(E101,"USD",(D101),"MN",(D101/$E$2))),"MN",(_xlfn.SWITCH(E101,"MN",(D101),"USD",(D101*$E$3))))</f>
        <v>0</v>
      </c>
      <c r="G101" s="42" cm="1">
        <f t="array" ref="G101">_xlfn.SWITCH($F$1,"USD",(_xlfn.SWITCH(E101,"USD",(D101),"MN",(D101/$E$4))),"MN",(_xlfn.SWITCH(E101,"MN",(D101),"USD",(D101*$E$4))))</f>
        <v>0</v>
      </c>
      <c r="H101" s="37">
        <v>0</v>
      </c>
      <c r="I101" s="42">
        <f t="shared" si="2"/>
        <v>0</v>
      </c>
      <c r="J101" s="37"/>
      <c r="K101" s="43">
        <f t="shared" si="3"/>
        <v>0</v>
      </c>
      <c r="N101" s="37"/>
    </row>
    <row r="102" spans="3:14" x14ac:dyDescent="0.25">
      <c r="E102" s="36" t="s">
        <v>23</v>
      </c>
      <c r="F102" s="42" cm="1">
        <f t="array" ref="F102">_xlfn.SWITCH($F$1,"USD",(_xlfn.SWITCH(E102,"USD",(D102),"MN",(D102/$E$2))),"MN",(_xlfn.SWITCH(E102,"MN",(D102),"USD",(D102*$E$3))))</f>
        <v>0</v>
      </c>
      <c r="G102" s="42" cm="1">
        <f t="array" ref="G102">_xlfn.SWITCH($F$1,"USD",(_xlfn.SWITCH(E102,"USD",(D102),"MN",(D102/$E$4))),"MN",(_xlfn.SWITCH(E102,"MN",(D102),"USD",(D102*$E$4))))</f>
        <v>0</v>
      </c>
      <c r="H102" s="37">
        <v>0</v>
      </c>
      <c r="I102" s="42">
        <f t="shared" si="2"/>
        <v>0</v>
      </c>
      <c r="J102" s="37"/>
      <c r="K102" s="43">
        <f t="shared" si="3"/>
        <v>0</v>
      </c>
      <c r="N102" s="37"/>
    </row>
    <row r="103" spans="3:14" x14ac:dyDescent="0.25">
      <c r="E103" s="36" t="s">
        <v>23</v>
      </c>
      <c r="F103" s="42" cm="1">
        <f t="array" ref="F103">_xlfn.SWITCH($F$1,"USD",(_xlfn.SWITCH(E103,"USD",(D103),"MN",(D103/$E$2))),"MN",(_xlfn.SWITCH(E103,"MN",(D103),"USD",(D103*$E$3))))</f>
        <v>0</v>
      </c>
      <c r="G103" s="42" cm="1">
        <f t="array" ref="G103">_xlfn.SWITCH($F$1,"USD",(_xlfn.SWITCH(E103,"USD",(D103),"MN",(D103/$E$4))),"MN",(_xlfn.SWITCH(E103,"MN",(D103),"USD",(D103*$E$4))))</f>
        <v>0</v>
      </c>
      <c r="H103" s="37">
        <v>0</v>
      </c>
      <c r="I103" s="42">
        <f t="shared" si="2"/>
        <v>0</v>
      </c>
      <c r="J103" s="37"/>
      <c r="K103" s="43">
        <f t="shared" si="3"/>
        <v>0</v>
      </c>
      <c r="N103" s="37"/>
    </row>
    <row r="104" spans="3:14" x14ac:dyDescent="0.25">
      <c r="E104" s="36" t="s">
        <v>23</v>
      </c>
      <c r="F104" s="42" cm="1">
        <f t="array" ref="F104">_xlfn.SWITCH($F$1,"USD",(_xlfn.SWITCH(E104,"USD",(D104),"MN",(D104/$E$2))),"MN",(_xlfn.SWITCH(E104,"MN",(D104),"USD",(D104*$E$3))))</f>
        <v>0</v>
      </c>
      <c r="G104" s="42" cm="1">
        <f t="array" ref="G104">_xlfn.SWITCH($F$1,"USD",(_xlfn.SWITCH(E104,"USD",(D104),"MN",(D104/$E$4))),"MN",(_xlfn.SWITCH(E104,"MN",(D104),"USD",(D104*$E$4))))</f>
        <v>0</v>
      </c>
      <c r="H104" s="37">
        <v>0</v>
      </c>
      <c r="I104" s="42">
        <f t="shared" si="2"/>
        <v>0</v>
      </c>
      <c r="J104" s="37"/>
      <c r="K104" s="43">
        <f t="shared" si="3"/>
        <v>0</v>
      </c>
      <c r="N104" s="37"/>
    </row>
    <row r="105" spans="3:14" x14ac:dyDescent="0.25">
      <c r="E105" s="36" t="s">
        <v>23</v>
      </c>
      <c r="F105" s="42" cm="1">
        <f t="array" ref="F105">_xlfn.SWITCH($F$1,"USD",(_xlfn.SWITCH(E105,"USD",(D105),"MN",(D105/$E$2))),"MN",(_xlfn.SWITCH(E105,"MN",(D105),"USD",(D105*$E$3))))</f>
        <v>0</v>
      </c>
      <c r="G105" s="42" cm="1">
        <f t="array" ref="G105">_xlfn.SWITCH($F$1,"USD",(_xlfn.SWITCH(E105,"USD",(D105),"MN",(D105/$E$4))),"MN",(_xlfn.SWITCH(E105,"MN",(D105),"USD",(D105*$E$4))))</f>
        <v>0</v>
      </c>
      <c r="H105" s="37">
        <v>0</v>
      </c>
      <c r="I105" s="42">
        <f t="shared" si="2"/>
        <v>0</v>
      </c>
      <c r="J105" s="37"/>
      <c r="K105" s="43">
        <f t="shared" si="3"/>
        <v>0</v>
      </c>
      <c r="N105" s="37"/>
    </row>
    <row r="106" spans="3:14" x14ac:dyDescent="0.25">
      <c r="E106" s="36" t="s">
        <v>23</v>
      </c>
      <c r="F106" s="42" cm="1">
        <f t="array" ref="F106">_xlfn.SWITCH($F$1,"USD",(_xlfn.SWITCH(E106,"USD",(D106),"MN",(D106/$E$2))),"MN",(_xlfn.SWITCH(E106,"MN",(D106),"USD",(D106*$E$3))))</f>
        <v>0</v>
      </c>
      <c r="G106" s="42" cm="1">
        <f t="array" ref="G106">_xlfn.SWITCH($F$1,"USD",(_xlfn.SWITCH(E106,"USD",(D106),"MN",(D106/$E$4))),"MN",(_xlfn.SWITCH(E106,"MN",(D106),"USD",(D106*$E$4))))</f>
        <v>0</v>
      </c>
      <c r="H106" s="37">
        <v>1</v>
      </c>
      <c r="I106" s="42">
        <f t="shared" ref="I106:I111" si="4">+G106*(1-H106)</f>
        <v>0</v>
      </c>
      <c r="J106" s="37"/>
      <c r="K106" s="43">
        <f t="shared" ref="K106:K111" si="5">+F106*(1+J106)</f>
        <v>0</v>
      </c>
      <c r="N106" s="37"/>
    </row>
    <row r="107" spans="3:14" x14ac:dyDescent="0.25">
      <c r="E107" s="36" t="s">
        <v>23</v>
      </c>
      <c r="F107" s="42" cm="1">
        <f t="array" ref="F107">_xlfn.SWITCH($F$1,"USD",(_xlfn.SWITCH(E107,"USD",(D107),"MN",(D107/$E$2))),"MN",(_xlfn.SWITCH(E107,"MN",(D107),"USD",(D107*$E$3))))</f>
        <v>0</v>
      </c>
      <c r="G107" s="42" cm="1">
        <f t="array" ref="G107">_xlfn.SWITCH($F$1,"USD",(_xlfn.SWITCH(E107,"USD",(D107),"MN",(D107/$E$4))),"MN",(_xlfn.SWITCH(E107,"MN",(D107),"USD",(D107*$E$4))))</f>
        <v>0</v>
      </c>
      <c r="H107" s="37">
        <v>2</v>
      </c>
      <c r="I107" s="42">
        <f t="shared" si="4"/>
        <v>0</v>
      </c>
      <c r="J107" s="37"/>
      <c r="K107" s="43">
        <f t="shared" si="5"/>
        <v>0</v>
      </c>
      <c r="N107" s="37"/>
    </row>
    <row r="108" spans="3:14" x14ac:dyDescent="0.25">
      <c r="E108" s="36" t="s">
        <v>23</v>
      </c>
      <c r="F108" s="42" cm="1">
        <f t="array" ref="F108">_xlfn.SWITCH($F$1,"USD",(_xlfn.SWITCH(E108,"USD",(D108),"MN",(D108/$E$2))),"MN",(_xlfn.SWITCH(E108,"MN",(D108),"USD",(D108*$E$3))))</f>
        <v>0</v>
      </c>
      <c r="G108" s="42" cm="1">
        <f t="array" ref="G108">_xlfn.SWITCH($F$1,"USD",(_xlfn.SWITCH(E108,"USD",(D108),"MN",(D108/$E$4))),"MN",(_xlfn.SWITCH(E108,"MN",(D108),"USD",(D108*$E$4))))</f>
        <v>0</v>
      </c>
      <c r="H108" s="37">
        <v>3</v>
      </c>
      <c r="I108" s="42">
        <f t="shared" si="4"/>
        <v>0</v>
      </c>
      <c r="J108" s="37"/>
      <c r="K108" s="43">
        <f t="shared" si="5"/>
        <v>0</v>
      </c>
      <c r="N108" s="37"/>
    </row>
    <row r="109" spans="3:14" x14ac:dyDescent="0.25">
      <c r="E109" s="36" t="s">
        <v>23</v>
      </c>
      <c r="F109" s="42" cm="1">
        <f t="array" ref="F109">_xlfn.SWITCH($F$1,"USD",(_xlfn.SWITCH(E109,"USD",(D109),"MN",(D109/$E$2))),"MN",(_xlfn.SWITCH(E109,"MN",(D109),"USD",(D109*$E$3))))</f>
        <v>0</v>
      </c>
      <c r="G109" s="42" cm="1">
        <f t="array" ref="G109">_xlfn.SWITCH($F$1,"USD",(_xlfn.SWITCH(E109,"USD",(D109),"MN",(D109/$E$4))),"MN",(_xlfn.SWITCH(E109,"MN",(D109),"USD",(D109*$E$4))))</f>
        <v>0</v>
      </c>
      <c r="H109" s="37">
        <v>4</v>
      </c>
      <c r="I109" s="42">
        <f t="shared" si="4"/>
        <v>0</v>
      </c>
      <c r="J109" s="37"/>
      <c r="K109" s="43">
        <f t="shared" si="5"/>
        <v>0</v>
      </c>
      <c r="N109" s="37"/>
    </row>
    <row r="110" spans="3:14" x14ac:dyDescent="0.25">
      <c r="E110" s="36" t="s">
        <v>23</v>
      </c>
      <c r="F110" s="42" cm="1">
        <f t="array" ref="F110">_xlfn.SWITCH($F$1,"USD",(_xlfn.SWITCH(E110,"USD",(D110),"MN",(D110/$E$2))),"MN",(_xlfn.SWITCH(E110,"MN",(D110),"USD",(D110*$E$3))))</f>
        <v>0</v>
      </c>
      <c r="G110" s="42" cm="1">
        <f t="array" ref="G110">_xlfn.SWITCH($F$1,"USD",(_xlfn.SWITCH(E110,"USD",(D110),"MN",(D110/$E$4))),"MN",(_xlfn.SWITCH(E110,"MN",(D110),"USD",(D110*$E$4))))</f>
        <v>0</v>
      </c>
      <c r="H110" s="37">
        <v>5</v>
      </c>
      <c r="I110" s="42">
        <f t="shared" si="4"/>
        <v>0</v>
      </c>
      <c r="J110" s="37"/>
      <c r="K110" s="43">
        <f t="shared" si="5"/>
        <v>0</v>
      </c>
      <c r="N110" s="37"/>
    </row>
    <row r="111" spans="3:14" x14ac:dyDescent="0.25">
      <c r="E111" s="36" t="s">
        <v>23</v>
      </c>
      <c r="F111" s="42" cm="1">
        <f t="array" ref="F111">_xlfn.SWITCH($F$1,"USD",(_xlfn.SWITCH(E111,"USD",(D111),"MN",(D111/$E$2))),"MN",(_xlfn.SWITCH(E111,"MN",(D111),"USD",(D111*$E$3))))</f>
        <v>0</v>
      </c>
      <c r="G111" s="42" cm="1">
        <f t="array" ref="G111">_xlfn.SWITCH($F$1,"USD",(_xlfn.SWITCH(E111,"USD",(D111),"MN",(D111/$E$4))),"MN",(_xlfn.SWITCH(E111,"MN",(D111),"USD",(D111*$E$4))))</f>
        <v>0</v>
      </c>
      <c r="H111" s="37">
        <v>6</v>
      </c>
      <c r="I111" s="42">
        <f t="shared" si="4"/>
        <v>0</v>
      </c>
      <c r="J111" s="37"/>
      <c r="K111" s="43">
        <f t="shared" si="5"/>
        <v>0</v>
      </c>
      <c r="N111" s="37"/>
    </row>
    <row r="112" spans="3:14" x14ac:dyDescent="0.25">
      <c r="K112" s="40"/>
    </row>
    <row r="113" spans="11:11" x14ac:dyDescent="0.25">
      <c r="K113" s="40"/>
    </row>
    <row r="114" spans="11:11" x14ac:dyDescent="0.25">
      <c r="K114" s="40"/>
    </row>
    <row r="115" spans="11:11" x14ac:dyDescent="0.25">
      <c r="K115" s="40"/>
    </row>
    <row r="116" spans="11:11" x14ac:dyDescent="0.25">
      <c r="K116" s="40"/>
    </row>
    <row r="117" spans="11:11" x14ac:dyDescent="0.25">
      <c r="K117" s="40"/>
    </row>
    <row r="118" spans="11:11" x14ac:dyDescent="0.25">
      <c r="K118" s="40"/>
    </row>
    <row r="119" spans="11:11" x14ac:dyDescent="0.25">
      <c r="K119" s="40"/>
    </row>
    <row r="120" spans="11:11" x14ac:dyDescent="0.25">
      <c r="K120" s="40"/>
    </row>
    <row r="121" spans="11:11" x14ac:dyDescent="0.25">
      <c r="K121" s="40"/>
    </row>
    <row r="122" spans="11:11" x14ac:dyDescent="0.25">
      <c r="K122" s="40"/>
    </row>
    <row r="123" spans="11:11" x14ac:dyDescent="0.25">
      <c r="K123" s="40"/>
    </row>
    <row r="124" spans="11:11" x14ac:dyDescent="0.25">
      <c r="K124" s="40"/>
    </row>
    <row r="125" spans="11:11" x14ac:dyDescent="0.25">
      <c r="K125" s="40"/>
    </row>
    <row r="126" spans="11:11" x14ac:dyDescent="0.25">
      <c r="K126" s="40"/>
    </row>
    <row r="127" spans="11:11" x14ac:dyDescent="0.25">
      <c r="K127" s="40"/>
    </row>
    <row r="128" spans="11:11" x14ac:dyDescent="0.25">
      <c r="K128" s="40"/>
    </row>
    <row r="129" spans="11:11" x14ac:dyDescent="0.25">
      <c r="K129" s="40"/>
    </row>
    <row r="130" spans="11:11" x14ac:dyDescent="0.25">
      <c r="K130" s="40"/>
    </row>
    <row r="131" spans="11:11" x14ac:dyDescent="0.25">
      <c r="K131" s="40"/>
    </row>
    <row r="132" spans="11:11" x14ac:dyDescent="0.25">
      <c r="K132" s="40"/>
    </row>
    <row r="133" spans="11:11" x14ac:dyDescent="0.25">
      <c r="K133" s="40"/>
    </row>
    <row r="134" spans="11:11" x14ac:dyDescent="0.25">
      <c r="K134" s="40"/>
    </row>
    <row r="135" spans="11:11" x14ac:dyDescent="0.25">
      <c r="K135" s="40"/>
    </row>
    <row r="136" spans="11:11" x14ac:dyDescent="0.25">
      <c r="K136" s="40"/>
    </row>
    <row r="137" spans="11:11" x14ac:dyDescent="0.25">
      <c r="K137" s="40"/>
    </row>
    <row r="138" spans="11:11" x14ac:dyDescent="0.25">
      <c r="K138" s="40"/>
    </row>
    <row r="139" spans="11:11" x14ac:dyDescent="0.25">
      <c r="K139" s="40"/>
    </row>
    <row r="140" spans="11:11" x14ac:dyDescent="0.25">
      <c r="K140" s="40"/>
    </row>
    <row r="141" spans="11:11" x14ac:dyDescent="0.25">
      <c r="K141" s="40"/>
    </row>
    <row r="142" spans="11:11" x14ac:dyDescent="0.25">
      <c r="K142" s="40"/>
    </row>
    <row r="143" spans="11:11" x14ac:dyDescent="0.25">
      <c r="K143" s="40"/>
    </row>
    <row r="144" spans="11:11" x14ac:dyDescent="0.25">
      <c r="K144" s="40"/>
    </row>
    <row r="145" spans="11:11" x14ac:dyDescent="0.25">
      <c r="K145" s="40"/>
    </row>
    <row r="146" spans="11:11" x14ac:dyDescent="0.25">
      <c r="K146" s="40"/>
    </row>
    <row r="147" spans="11:11" x14ac:dyDescent="0.25">
      <c r="K147" s="40"/>
    </row>
    <row r="148" spans="11:11" x14ac:dyDescent="0.25">
      <c r="K148" s="40"/>
    </row>
    <row r="149" spans="11:11" x14ac:dyDescent="0.25">
      <c r="K149" s="40"/>
    </row>
    <row r="150" spans="11:11" x14ac:dyDescent="0.25">
      <c r="K150" s="40"/>
    </row>
    <row r="151" spans="11:11" x14ac:dyDescent="0.25">
      <c r="K151" s="40"/>
    </row>
    <row r="152" spans="11:11" x14ac:dyDescent="0.25">
      <c r="K152" s="40"/>
    </row>
    <row r="153" spans="11:11" x14ac:dyDescent="0.25">
      <c r="K153" s="40"/>
    </row>
    <row r="154" spans="11:11" x14ac:dyDescent="0.25">
      <c r="K154" s="40"/>
    </row>
    <row r="155" spans="11:11" x14ac:dyDescent="0.25">
      <c r="K155" s="40"/>
    </row>
    <row r="156" spans="11:11" x14ac:dyDescent="0.25">
      <c r="K156" s="40"/>
    </row>
    <row r="157" spans="11:11" x14ac:dyDescent="0.25">
      <c r="K157" s="40"/>
    </row>
    <row r="158" spans="11:11" x14ac:dyDescent="0.25">
      <c r="K158" s="40"/>
    </row>
    <row r="159" spans="11:11" x14ac:dyDescent="0.25">
      <c r="K159" s="40"/>
    </row>
    <row r="160" spans="11:11" x14ac:dyDescent="0.25">
      <c r="K160" s="40"/>
    </row>
    <row r="161" spans="11:11" x14ac:dyDescent="0.25">
      <c r="K161" s="40"/>
    </row>
    <row r="162" spans="11:11" x14ac:dyDescent="0.25">
      <c r="K162" s="40"/>
    </row>
    <row r="163" spans="11:11" x14ac:dyDescent="0.25">
      <c r="K163" s="40"/>
    </row>
    <row r="164" spans="11:11" x14ac:dyDescent="0.25">
      <c r="K164" s="40"/>
    </row>
    <row r="165" spans="11:11" x14ac:dyDescent="0.25">
      <c r="K165" s="40"/>
    </row>
    <row r="166" spans="11:11" x14ac:dyDescent="0.25">
      <c r="K166" s="40"/>
    </row>
    <row r="167" spans="11:11" x14ac:dyDescent="0.25">
      <c r="K167" s="40"/>
    </row>
    <row r="168" spans="11:11" x14ac:dyDescent="0.25">
      <c r="K168" s="40"/>
    </row>
    <row r="169" spans="11:11" x14ac:dyDescent="0.25">
      <c r="K169" s="40"/>
    </row>
    <row r="170" spans="11:11" x14ac:dyDescent="0.25">
      <c r="K170" s="40"/>
    </row>
    <row r="171" spans="11:11" x14ac:dyDescent="0.25">
      <c r="K171" s="40"/>
    </row>
    <row r="172" spans="11:11" x14ac:dyDescent="0.25">
      <c r="K172" s="40"/>
    </row>
    <row r="173" spans="11:11" x14ac:dyDescent="0.25">
      <c r="K173" s="40"/>
    </row>
    <row r="174" spans="11:11" x14ac:dyDescent="0.25">
      <c r="K174" s="40"/>
    </row>
    <row r="175" spans="11:11" x14ac:dyDescent="0.25">
      <c r="K175" s="40"/>
    </row>
    <row r="176" spans="11:11" x14ac:dyDescent="0.25">
      <c r="K176" s="40"/>
    </row>
    <row r="177" spans="11:11" x14ac:dyDescent="0.25">
      <c r="K177" s="40"/>
    </row>
    <row r="178" spans="11:11" x14ac:dyDescent="0.25">
      <c r="K178" s="40"/>
    </row>
    <row r="179" spans="11:11" x14ac:dyDescent="0.25">
      <c r="K179" s="40"/>
    </row>
    <row r="180" spans="11:11" x14ac:dyDescent="0.25">
      <c r="K180" s="40"/>
    </row>
    <row r="181" spans="11:11" x14ac:dyDescent="0.25">
      <c r="K181" s="40"/>
    </row>
    <row r="182" spans="11:11" x14ac:dyDescent="0.25">
      <c r="K182" s="40"/>
    </row>
    <row r="183" spans="11:11" x14ac:dyDescent="0.25">
      <c r="K183" s="40"/>
    </row>
    <row r="184" spans="11:11" x14ac:dyDescent="0.25">
      <c r="K184" s="40"/>
    </row>
    <row r="185" spans="11:11" x14ac:dyDescent="0.25">
      <c r="K185" s="40"/>
    </row>
    <row r="186" spans="11:11" x14ac:dyDescent="0.25">
      <c r="K186" s="40"/>
    </row>
    <row r="187" spans="11:11" x14ac:dyDescent="0.25">
      <c r="K187" s="40"/>
    </row>
    <row r="188" spans="11:11" x14ac:dyDescent="0.25">
      <c r="K188" s="40"/>
    </row>
    <row r="189" spans="11:11" x14ac:dyDescent="0.25">
      <c r="K189" s="40"/>
    </row>
    <row r="190" spans="11:11" x14ac:dyDescent="0.25">
      <c r="K190" s="40"/>
    </row>
    <row r="191" spans="11:11" x14ac:dyDescent="0.25">
      <c r="K191" s="40"/>
    </row>
    <row r="192" spans="11:11" x14ac:dyDescent="0.25">
      <c r="K192" s="40"/>
    </row>
    <row r="193" spans="11:11" x14ac:dyDescent="0.25">
      <c r="K193" s="40"/>
    </row>
    <row r="194" spans="11:11" x14ac:dyDescent="0.25">
      <c r="K194" s="40"/>
    </row>
    <row r="195" spans="11:11" x14ac:dyDescent="0.25">
      <c r="K195" s="40"/>
    </row>
    <row r="196" spans="11:11" x14ac:dyDescent="0.25">
      <c r="K196" s="40"/>
    </row>
    <row r="197" spans="11:11" x14ac:dyDescent="0.25">
      <c r="K197" s="40"/>
    </row>
    <row r="198" spans="11:11" x14ac:dyDescent="0.25">
      <c r="K198" s="40"/>
    </row>
    <row r="199" spans="11:11" x14ac:dyDescent="0.25">
      <c r="K199" s="40"/>
    </row>
    <row r="200" spans="11:11" x14ac:dyDescent="0.25">
      <c r="K200" s="40"/>
    </row>
    <row r="201" spans="11:11" x14ac:dyDescent="0.25">
      <c r="K201" s="40"/>
    </row>
    <row r="202" spans="11:11" x14ac:dyDescent="0.25">
      <c r="K202" s="40"/>
    </row>
    <row r="203" spans="11:11" x14ac:dyDescent="0.25">
      <c r="K203" s="40"/>
    </row>
    <row r="204" spans="11:11" x14ac:dyDescent="0.25">
      <c r="K204" s="40"/>
    </row>
    <row r="205" spans="11:11" x14ac:dyDescent="0.25">
      <c r="K205" s="40"/>
    </row>
    <row r="206" spans="11:11" x14ac:dyDescent="0.25">
      <c r="K206" s="40"/>
    </row>
    <row r="207" spans="11:11" x14ac:dyDescent="0.25">
      <c r="K207" s="40"/>
    </row>
  </sheetData>
  <sheetProtection sheet="1" objects="1" scenarios="1"/>
  <mergeCells count="1">
    <mergeCell ref="D1:E1"/>
  </mergeCells>
  <phoneticPr fontId="10" type="noConversion"/>
  <dataValidations count="2">
    <dataValidation type="list" allowBlank="1" showInputMessage="1" showErrorMessage="1" promptTitle="DIVISA" prompt="SELECIONA LA DIVISA DE PARA LA COTIZACION" sqref="F1" xr:uid="{9AE798BE-5010-4723-83EE-B4458DEF4C2D}">
      <formula1>$C$1:$C$2</formula1>
    </dataValidation>
    <dataValidation type="list" allowBlank="1" showInputMessage="1" showErrorMessage="1" promptTitle="DIVISA PROVEEDOR" prompt="SELECCIONA LA DIVISA DEL PROVEEDOR" sqref="E6:E111" xr:uid="{A982C8B4-6990-46BA-AE82-43597582836A}">
      <formula1>$C$1:$C$2</formula1>
    </dataValidation>
  </dataValidations>
  <pageMargins left="0.7" right="0.7" top="0.75" bottom="0.75" header="0.3" footer="0.3"/>
  <pageSetup orientation="portrait" horizontalDpi="0" verticalDpi="0" r:id="rId1"/>
  <drawing r:id="rId2"/>
  <legacyDrawing r:id="rId3"/>
  <controls>
    <mc:AlternateContent xmlns:mc="http://schemas.openxmlformats.org/markup-compatibility/2006">
      <mc:Choice Requires="x14">
        <control shapeId="1025" r:id="rId4" name="CommandButton1">
          <controlPr defaultSize="0" autoLine="0" r:id="rId5">
            <anchor moveWithCells="1">
              <from>
                <xdr:col>10</xdr:col>
                <xdr:colOff>38100</xdr:colOff>
                <xdr:row>0</xdr:row>
                <xdr:rowOff>0</xdr:rowOff>
              </from>
              <to>
                <xdr:col>10</xdr:col>
                <xdr:colOff>962025</xdr:colOff>
                <xdr:row>2</xdr:row>
                <xdr:rowOff>19050</xdr:rowOff>
              </to>
            </anchor>
          </controlPr>
        </control>
      </mc:Choice>
      <mc:Fallback>
        <control shapeId="1025" r:id="rId4" name="CommandButton1"/>
      </mc:Fallback>
    </mc:AlternateContent>
  </controls>
  <tableParts count="1"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C7733-0024-4937-AF95-B2376BE0D5BA}">
  <sheetPr codeName="Sheet2"/>
  <dimension ref="A1:F110"/>
  <sheetViews>
    <sheetView tabSelected="1" workbookViewId="0">
      <selection activeCell="K10" sqref="K10"/>
    </sheetView>
  </sheetViews>
  <sheetFormatPr baseColWidth="10" defaultColWidth="9.140625" defaultRowHeight="15" x14ac:dyDescent="0.25"/>
  <cols>
    <col min="1" max="1" width="7.28515625" style="8" customWidth="1"/>
    <col min="2" max="2" width="14.7109375" style="8" customWidth="1"/>
    <col min="3" max="3" width="63.5703125" style="1" customWidth="1"/>
    <col min="4" max="4" width="6.28515625" style="3" customWidth="1"/>
    <col min="5" max="5" width="16" style="4" customWidth="1"/>
    <col min="6" max="6" width="16" customWidth="1"/>
  </cols>
  <sheetData>
    <row r="1" spans="1:6" s="8" customFormat="1" ht="37.5" customHeight="1" x14ac:dyDescent="0.25">
      <c r="A1" s="18" t="s">
        <v>8</v>
      </c>
      <c r="B1" s="9" t="s">
        <v>0</v>
      </c>
      <c r="C1" s="10" t="s">
        <v>1</v>
      </c>
      <c r="D1" s="9" t="s">
        <v>2</v>
      </c>
      <c r="E1" s="10" t="s">
        <v>7</v>
      </c>
      <c r="F1" s="10" t="s">
        <v>3</v>
      </c>
    </row>
    <row r="2" spans="1:6" ht="34.5" customHeight="1" x14ac:dyDescent="0.25">
      <c r="A2" s="19">
        <v>1</v>
      </c>
      <c r="B2" s="20" t="str">
        <f>+CotProveedor!A6</f>
        <v>440N-G02045</v>
      </c>
      <c r="C2" s="16" t="str">
        <f>CONCATENATE(CotProveedor!B6,"      ",CHAR(47)," ",CotProveedor!$L$2, " ",CotProveedor!L6)</f>
        <v xml:space="preserve">INTERRUPTOR DE SEGURIDAD ACTUADO MAGNETICO 110 VCA      / T. E. S. P. V. 50-55 Días Habiles </v>
      </c>
      <c r="D2" s="15">
        <f>+CotProveedor!C6</f>
        <v>6</v>
      </c>
      <c r="E2" s="17">
        <f>CotProveedor!K6</f>
        <v>4987.3537271999994</v>
      </c>
      <c r="F2" s="17">
        <f t="shared" ref="F2:F66" si="0">D2*E2</f>
        <v>29924.122363199996</v>
      </c>
    </row>
    <row r="3" spans="1:6" ht="34.5" customHeight="1" x14ac:dyDescent="0.25">
      <c r="A3" s="19">
        <v>2</v>
      </c>
      <c r="B3" s="20" t="str">
        <f>+CotProveedor!A7</f>
        <v>LC1D09R7</v>
      </c>
      <c r="C3" s="16" t="str">
        <f>CONCATENATE(CotProveedor!B7,"      ",CHAR(47)," ",CotProveedor!$L$2, " ",CotProveedor!L7)</f>
        <v xml:space="preserve">CONTACTOR 440V 9A      / T. E. S. P. V. 8-10 Días Habiles </v>
      </c>
      <c r="D3" s="15">
        <f>+CotProveedor!C7</f>
        <v>10</v>
      </c>
      <c r="E3" s="17">
        <f>CotProveedor!K7</f>
        <v>575.39099999999996</v>
      </c>
      <c r="F3" s="17">
        <f t="shared" si="0"/>
        <v>5753.91</v>
      </c>
    </row>
    <row r="4" spans="1:6" ht="34.5" customHeight="1" x14ac:dyDescent="0.25">
      <c r="A4" s="19">
        <v>3</v>
      </c>
      <c r="B4" s="20" t="str">
        <f>+CotProveedor!A8</f>
        <v>CT6S-2P4</v>
      </c>
      <c r="C4" s="16" t="str">
        <f>CONCATENATE(CotProveedor!B8,"      ",CHAR(47)," ",CotProveedor!$L$2, " ",CotProveedor!L8)</f>
        <v xml:space="preserve">COUNTER / TIMER 100-240 VAC      / T. E. S. P. V. 8-10 Días Habiles </v>
      </c>
      <c r="D4" s="15">
        <f>+CotProveedor!C8</f>
        <v>6</v>
      </c>
      <c r="E4" s="17">
        <f>CotProveedor!K8</f>
        <v>2129.7080000000001</v>
      </c>
      <c r="F4" s="17">
        <f t="shared" si="0"/>
        <v>12778.248</v>
      </c>
    </row>
    <row r="5" spans="1:6" ht="37.5" customHeight="1" x14ac:dyDescent="0.25">
      <c r="A5" s="19">
        <v>4</v>
      </c>
      <c r="B5" s="20" t="str">
        <f>+CotProveedor!A9</f>
        <v>SFNB 8TX</v>
      </c>
      <c r="C5" s="16" t="str">
        <f>CONCATENATE(CotProveedor!B9,"      ",CHAR(47)," ",CotProveedor!$L$2, " ",CotProveedor!L9)</f>
        <v xml:space="preserve">SWITCH PARA TABLERO FL SWITCH SFNB 8TX !      / T. E. S. P. V. 3-5 Días Habiles </v>
      </c>
      <c r="D5" s="15">
        <f>+CotProveedor!C9</f>
        <v>2</v>
      </c>
      <c r="E5" s="17">
        <f>CotProveedor!K9</f>
        <v>2780.2285000000002</v>
      </c>
      <c r="F5" s="17">
        <f t="shared" si="0"/>
        <v>5560.4570000000003</v>
      </c>
    </row>
    <row r="6" spans="1:6" ht="37.5" customHeight="1" x14ac:dyDescent="0.25">
      <c r="A6" s="19">
        <v>5</v>
      </c>
      <c r="B6" s="20" t="str">
        <f>+CotProveedor!A10</f>
        <v xml:space="preserve"> 150-C85NBD</v>
      </c>
      <c r="C6" s="16" t="str">
        <f>CONCATENATE(CotProveedor!B10,"      ",CHAR(47)," ",CotProveedor!$L$2, " ",CotProveedor!L10)</f>
        <v xml:space="preserve">ARRANCADOR SUAVE 85A 480V 3PH 150-C85NBD      / T. E. S. P. V. 3-5 Días Habiles </v>
      </c>
      <c r="D6" s="15">
        <f>+CotProveedor!C10</f>
        <v>2</v>
      </c>
      <c r="E6" s="17">
        <f>CotProveedor!K10</f>
        <v>49177.856216799999</v>
      </c>
      <c r="F6" s="17">
        <f t="shared" si="0"/>
        <v>98355.712433599998</v>
      </c>
    </row>
    <row r="7" spans="1:6" ht="37.5" customHeight="1" x14ac:dyDescent="0.25">
      <c r="A7" s="19">
        <v>6</v>
      </c>
      <c r="B7" s="20" t="str">
        <f>+CotProveedor!A11</f>
        <v>3RP2505-1BT20</v>
      </c>
      <c r="C7" s="16" t="str">
        <f>CONCATENATE(CotProveedor!B11,"      ",CHAR(47)," ",CotProveedor!$L$2, " ",CotProveedor!L11)</f>
        <v xml:space="preserve">TIMER 3RP2505-1BT20      / T. E. S. P. V. 3-5 Días Habiles </v>
      </c>
      <c r="D7" s="15">
        <f>+CotProveedor!C11</f>
        <v>4</v>
      </c>
      <c r="E7" s="17">
        <f>CotProveedor!K11</f>
        <v>3120.7894999999999</v>
      </c>
      <c r="F7" s="17">
        <f t="shared" si="0"/>
        <v>12483.157999999999</v>
      </c>
    </row>
    <row r="8" spans="1:6" ht="37.5" customHeight="1" x14ac:dyDescent="0.25">
      <c r="A8" s="19">
        <v>7</v>
      </c>
      <c r="B8" s="20" t="str">
        <f>+CotProveedor!A12</f>
        <v>3RU2116-4BJ0</v>
      </c>
      <c r="C8" s="16" t="str">
        <f>CONCATENATE(CotProveedor!B12,"      ",CHAR(47)," ",CotProveedor!$L$2, " ",CotProveedor!L12)</f>
        <v xml:space="preserve">RELEVADOR DE SOBR. 3RU2116-4BJ0 7-10A      / T. E. S. P. V. 3-5 Días Habiles </v>
      </c>
      <c r="D8" s="15">
        <f>+CotProveedor!C12</f>
        <v>5</v>
      </c>
      <c r="E8" s="17">
        <f>CotProveedor!K12</f>
        <v>973.67049999999983</v>
      </c>
      <c r="F8" s="17">
        <f t="shared" si="0"/>
        <v>4868.3524999999991</v>
      </c>
    </row>
    <row r="9" spans="1:6" ht="37.5" customHeight="1" x14ac:dyDescent="0.25">
      <c r="A9" s="19"/>
      <c r="B9" s="20"/>
      <c r="C9" s="16"/>
      <c r="D9" s="15"/>
      <c r="E9" s="17" t="s">
        <v>28</v>
      </c>
      <c r="F9" s="17">
        <f>SUM(F2:F8)</f>
        <v>169723.96029679998</v>
      </c>
    </row>
    <row r="10" spans="1:6" ht="37.5" customHeight="1" x14ac:dyDescent="0.25">
      <c r="A10" s="19"/>
      <c r="B10" s="20"/>
      <c r="C10" s="16"/>
      <c r="D10" s="15">
        <f>+CotProveedor!C14</f>
        <v>0</v>
      </c>
      <c r="E10" s="17"/>
      <c r="F10" s="17"/>
    </row>
    <row r="11" spans="1:6" ht="37.5" customHeight="1" x14ac:dyDescent="0.25">
      <c r="A11" s="19">
        <v>10</v>
      </c>
      <c r="B11" s="20">
        <f>+CotProveedor!A15</f>
        <v>0</v>
      </c>
      <c r="C11" s="16" t="str">
        <f>CONCATENATE(CotProveedor!B15,"      ",CHAR(47)," ",CotProveedor!$L$2, " ",CotProveedor!L15)</f>
        <v xml:space="preserve">      / T. E. S. P. V. </v>
      </c>
      <c r="D11" s="15">
        <f>+CotProveedor!C15</f>
        <v>0</v>
      </c>
      <c r="E11" s="17">
        <f>CotProveedor!K15</f>
        <v>0</v>
      </c>
      <c r="F11" s="17">
        <f t="shared" si="0"/>
        <v>0</v>
      </c>
    </row>
    <row r="12" spans="1:6" ht="37.5" customHeight="1" x14ac:dyDescent="0.25">
      <c r="A12" s="19">
        <v>11</v>
      </c>
      <c r="B12" s="20">
        <f>+CotProveedor!A16</f>
        <v>0</v>
      </c>
      <c r="C12" s="16" t="str">
        <f>CONCATENATE(CotProveedor!B16,"      ",CHAR(47)," ",CotProveedor!$L$2, " ",CotProveedor!L16)</f>
        <v xml:space="preserve">      / T. E. S. P. V. </v>
      </c>
      <c r="D12" s="15">
        <f>+CotProveedor!C16</f>
        <v>0</v>
      </c>
      <c r="E12" s="17">
        <f>CotProveedor!K16</f>
        <v>0</v>
      </c>
      <c r="F12" s="17">
        <f t="shared" si="0"/>
        <v>0</v>
      </c>
    </row>
    <row r="13" spans="1:6" ht="37.5" customHeight="1" x14ac:dyDescent="0.25">
      <c r="A13" s="19">
        <v>12</v>
      </c>
      <c r="B13" s="20">
        <f>+CotProveedor!A17</f>
        <v>0</v>
      </c>
      <c r="C13" s="16" t="str">
        <f>CONCATENATE(CotProveedor!B17,"      ",CHAR(47)," ",CotProveedor!$L$2, " ",CotProveedor!L17)</f>
        <v xml:space="preserve">      / T. E. S. P. V. </v>
      </c>
      <c r="D13" s="15">
        <f>+CotProveedor!C17</f>
        <v>0</v>
      </c>
      <c r="E13" s="17">
        <f>CotProveedor!K17</f>
        <v>0</v>
      </c>
      <c r="F13" s="17">
        <f t="shared" si="0"/>
        <v>0</v>
      </c>
    </row>
    <row r="14" spans="1:6" ht="37.5" customHeight="1" x14ac:dyDescent="0.25">
      <c r="A14" s="19">
        <v>13</v>
      </c>
      <c r="B14" s="20">
        <f>+CotProveedor!A18</f>
        <v>0</v>
      </c>
      <c r="C14" s="16" t="str">
        <f>CONCATENATE(CotProveedor!B18,"      ",CHAR(47)," ",CotProveedor!$L$2, " ",CotProveedor!L18)</f>
        <v xml:space="preserve">      / T. E. S. P. V. </v>
      </c>
      <c r="D14" s="15">
        <f>+CotProveedor!C18</f>
        <v>0</v>
      </c>
      <c r="E14" s="17">
        <f>CotProveedor!K18</f>
        <v>0</v>
      </c>
      <c r="F14" s="17">
        <f t="shared" si="0"/>
        <v>0</v>
      </c>
    </row>
    <row r="15" spans="1:6" ht="37.5" customHeight="1" x14ac:dyDescent="0.25">
      <c r="A15" s="19">
        <v>14</v>
      </c>
      <c r="B15" s="20">
        <f>+CotProveedor!A19</f>
        <v>0</v>
      </c>
      <c r="C15" s="16" t="str">
        <f>CONCATENATE(CotProveedor!B19,"      ",CHAR(47)," ",CotProveedor!$L$2, " ",CotProveedor!L19)</f>
        <v xml:space="preserve">      / T. E. S. P. V. </v>
      </c>
      <c r="D15" s="15">
        <f>+CotProveedor!C19</f>
        <v>0</v>
      </c>
      <c r="E15" s="17">
        <f>CotProveedor!K19</f>
        <v>0</v>
      </c>
      <c r="F15" s="17">
        <f t="shared" si="0"/>
        <v>0</v>
      </c>
    </row>
    <row r="16" spans="1:6" ht="37.5" customHeight="1" x14ac:dyDescent="0.25">
      <c r="A16" s="19">
        <v>15</v>
      </c>
      <c r="B16" s="20">
        <f>+CotProveedor!A20</f>
        <v>0</v>
      </c>
      <c r="C16" s="16" t="str">
        <f>CONCATENATE(CotProveedor!B20,"      ",CHAR(47)," ",CotProveedor!$L$2, " ",CotProveedor!L20)</f>
        <v xml:space="preserve">      / T. E. S. P. V. </v>
      </c>
      <c r="D16" s="15">
        <f>+CotProveedor!C20</f>
        <v>0</v>
      </c>
      <c r="E16" s="17">
        <f>CotProveedor!K20</f>
        <v>0</v>
      </c>
      <c r="F16" s="17">
        <f t="shared" si="0"/>
        <v>0</v>
      </c>
    </row>
    <row r="17" spans="1:6" ht="37.5" customHeight="1" x14ac:dyDescent="0.25">
      <c r="A17" s="19">
        <v>16</v>
      </c>
      <c r="B17" s="20">
        <f>+CotProveedor!A21</f>
        <v>0</v>
      </c>
      <c r="C17" s="16" t="str">
        <f>CONCATENATE(CotProveedor!B21,"      ",CHAR(47)," ",CotProveedor!$L$2, " ",CotProveedor!L21)</f>
        <v xml:space="preserve">      / T. E. S. P. V. </v>
      </c>
      <c r="D17" s="15">
        <f>+CotProveedor!C21</f>
        <v>0</v>
      </c>
      <c r="E17" s="17">
        <f>CotProveedor!K21</f>
        <v>0</v>
      </c>
      <c r="F17" s="17">
        <f t="shared" si="0"/>
        <v>0</v>
      </c>
    </row>
    <row r="18" spans="1:6" ht="37.5" customHeight="1" x14ac:dyDescent="0.25">
      <c r="A18" s="19">
        <v>17</v>
      </c>
      <c r="B18" s="20">
        <f>+CotProveedor!A22</f>
        <v>0</v>
      </c>
      <c r="C18" s="16" t="str">
        <f>CONCATENATE(CotProveedor!B22,"      ",CHAR(47)," ",CotProveedor!$L$2, " ",CotProveedor!L22)</f>
        <v xml:space="preserve">      / T. E. S. P. V. </v>
      </c>
      <c r="D18" s="15">
        <f>+CotProveedor!C22</f>
        <v>0</v>
      </c>
      <c r="E18" s="17">
        <f>CotProveedor!K22</f>
        <v>0</v>
      </c>
      <c r="F18" s="17">
        <f t="shared" si="0"/>
        <v>0</v>
      </c>
    </row>
    <row r="19" spans="1:6" ht="37.5" customHeight="1" x14ac:dyDescent="0.25">
      <c r="A19" s="19">
        <v>18</v>
      </c>
      <c r="B19" s="20">
        <f>+CotProveedor!A23</f>
        <v>0</v>
      </c>
      <c r="C19" s="16" t="str">
        <f>CONCATENATE(CotProveedor!B23,"      ",CHAR(47)," ",CotProveedor!$L$2, " ",CotProveedor!L23)</f>
        <v xml:space="preserve">      / T. E. S. P. V. </v>
      </c>
      <c r="D19" s="15">
        <f>+CotProveedor!C23</f>
        <v>0</v>
      </c>
      <c r="E19" s="17">
        <f>CotProveedor!K23</f>
        <v>0</v>
      </c>
      <c r="F19" s="17">
        <f t="shared" si="0"/>
        <v>0</v>
      </c>
    </row>
    <row r="20" spans="1:6" ht="37.5" customHeight="1" x14ac:dyDescent="0.25">
      <c r="A20" s="19">
        <v>19</v>
      </c>
      <c r="B20" s="20">
        <f>+CotProveedor!A24</f>
        <v>0</v>
      </c>
      <c r="C20" s="16" t="str">
        <f>CONCATENATE(CotProveedor!B24,"      ",CHAR(47)," ",CotProveedor!$L$2, " ",CotProveedor!L24)</f>
        <v xml:space="preserve">      / T. E. S. P. V. </v>
      </c>
      <c r="D20" s="15">
        <f>+CotProveedor!C24</f>
        <v>0</v>
      </c>
      <c r="E20" s="17">
        <f>CotProveedor!K24</f>
        <v>0</v>
      </c>
      <c r="F20" s="17">
        <f t="shared" si="0"/>
        <v>0</v>
      </c>
    </row>
    <row r="21" spans="1:6" ht="37.5" customHeight="1" x14ac:dyDescent="0.25">
      <c r="A21" s="19">
        <v>20</v>
      </c>
      <c r="B21" s="20">
        <f>+CotProveedor!A25</f>
        <v>0</v>
      </c>
      <c r="C21" s="16" t="str">
        <f>CONCATENATE(CotProveedor!B25,"      ",CHAR(47)," ",CotProveedor!$L$2, " ",CotProveedor!L25)</f>
        <v xml:space="preserve">      / T. E. S. P. V. </v>
      </c>
      <c r="D21" s="15">
        <f>+CotProveedor!C25</f>
        <v>0</v>
      </c>
      <c r="E21" s="17">
        <f>CotProveedor!K25</f>
        <v>0</v>
      </c>
      <c r="F21" s="17">
        <f t="shared" si="0"/>
        <v>0</v>
      </c>
    </row>
    <row r="22" spans="1:6" ht="37.5" customHeight="1" x14ac:dyDescent="0.25">
      <c r="A22" s="19">
        <v>21</v>
      </c>
      <c r="B22" s="20">
        <f>+CotProveedor!A26</f>
        <v>0</v>
      </c>
      <c r="C22" s="16" t="str">
        <f>CONCATENATE(CotProveedor!B26,"      ",CHAR(47)," ",CotProveedor!$L$2, " ",CotProveedor!L26)</f>
        <v xml:space="preserve">      / T. E. S. P. V. </v>
      </c>
      <c r="D22" s="15">
        <f>+CotProveedor!C26</f>
        <v>0</v>
      </c>
      <c r="E22" s="17">
        <f>CotProveedor!K26</f>
        <v>0</v>
      </c>
      <c r="F22" s="17">
        <f t="shared" si="0"/>
        <v>0</v>
      </c>
    </row>
    <row r="23" spans="1:6" ht="37.5" customHeight="1" x14ac:dyDescent="0.25">
      <c r="A23" s="19">
        <v>22</v>
      </c>
      <c r="B23" s="20">
        <f>+CotProveedor!A27</f>
        <v>0</v>
      </c>
      <c r="C23" s="16" t="str">
        <f>CONCATENATE(CotProveedor!B27,"      ",CHAR(47)," ",CotProveedor!$L$2, " ",CotProveedor!L27)</f>
        <v xml:space="preserve">      / T. E. S. P. V. </v>
      </c>
      <c r="D23" s="15">
        <f>+CotProveedor!C27</f>
        <v>0</v>
      </c>
      <c r="E23" s="17">
        <f>CotProveedor!K27</f>
        <v>0</v>
      </c>
      <c r="F23" s="17">
        <f t="shared" si="0"/>
        <v>0</v>
      </c>
    </row>
    <row r="24" spans="1:6" ht="37.5" customHeight="1" x14ac:dyDescent="0.25">
      <c r="A24" s="19">
        <v>23</v>
      </c>
      <c r="B24" s="20">
        <f>+CotProveedor!A28</f>
        <v>0</v>
      </c>
      <c r="C24" s="16" t="str">
        <f>CONCATENATE(CotProveedor!B28,"      ",CHAR(47)," ",CotProveedor!$L$2, " ",CotProveedor!L28)</f>
        <v xml:space="preserve">      / T. E. S. P. V. </v>
      </c>
      <c r="D24" s="15">
        <f>+CotProveedor!C28</f>
        <v>0</v>
      </c>
      <c r="E24" s="17">
        <f>CotProveedor!K28</f>
        <v>0</v>
      </c>
      <c r="F24" s="17">
        <f t="shared" si="0"/>
        <v>0</v>
      </c>
    </row>
    <row r="25" spans="1:6" ht="54.75" customHeight="1" x14ac:dyDescent="0.25">
      <c r="A25" s="19">
        <v>24</v>
      </c>
      <c r="B25" s="20">
        <f>+CotProveedor!A29</f>
        <v>0</v>
      </c>
      <c r="C25" s="16" t="str">
        <f>CONCATENATE(CotProveedor!B29,"      ",CHAR(47)," ",CotProveedor!$L$2, " ",CotProveedor!L29)</f>
        <v xml:space="preserve">      / T. E. S. P. V. </v>
      </c>
      <c r="D25" s="15">
        <f>+CotProveedor!C29</f>
        <v>0</v>
      </c>
      <c r="E25" s="17">
        <f>CotProveedor!K29</f>
        <v>0</v>
      </c>
      <c r="F25" s="17">
        <f t="shared" si="0"/>
        <v>0</v>
      </c>
    </row>
    <row r="26" spans="1:6" ht="37.5" customHeight="1" x14ac:dyDescent="0.25">
      <c r="A26" s="19">
        <v>25</v>
      </c>
      <c r="B26" s="20">
        <f>+CotProveedor!A30</f>
        <v>0</v>
      </c>
      <c r="C26" s="16" t="str">
        <f>CONCATENATE(CotProveedor!B30,"      ",CHAR(47)," ",CotProveedor!$L$2, " ",CotProveedor!L30)</f>
        <v xml:space="preserve">      / T. E. S. P. V. </v>
      </c>
      <c r="D26" s="15">
        <f>+CotProveedor!C30</f>
        <v>0</v>
      </c>
      <c r="E26" s="17">
        <f>CotProveedor!K30</f>
        <v>0</v>
      </c>
      <c r="F26" s="17">
        <f t="shared" si="0"/>
        <v>0</v>
      </c>
    </row>
    <row r="27" spans="1:6" ht="37.5" customHeight="1" x14ac:dyDescent="0.25">
      <c r="A27" s="19">
        <v>26</v>
      </c>
      <c r="B27" s="20">
        <f>+CotProveedor!A31</f>
        <v>0</v>
      </c>
      <c r="C27" s="16" t="str">
        <f>CONCATENATE(CotProveedor!B31,"      ",CHAR(47)," ",CotProveedor!$L$2, " ",CotProveedor!L31)</f>
        <v xml:space="preserve">      / T. E. S. P. V. </v>
      </c>
      <c r="D27" s="15">
        <f>+CotProveedor!C31</f>
        <v>0</v>
      </c>
      <c r="E27" s="17">
        <f>CotProveedor!K31</f>
        <v>0</v>
      </c>
      <c r="F27" s="17">
        <f t="shared" si="0"/>
        <v>0</v>
      </c>
    </row>
    <row r="28" spans="1:6" ht="37.5" customHeight="1" x14ac:dyDescent="0.25">
      <c r="A28" s="19">
        <v>27</v>
      </c>
      <c r="B28" s="20">
        <f>+CotProveedor!A32</f>
        <v>0</v>
      </c>
      <c r="C28" s="16" t="str">
        <f>CONCATENATE(CotProveedor!B32,"      ",CHAR(47)," ",CotProveedor!$L$2, " ",CotProveedor!L32)</f>
        <v xml:space="preserve">      / T. E. S. P. V. </v>
      </c>
      <c r="D28" s="15">
        <f>+CotProveedor!C32</f>
        <v>0</v>
      </c>
      <c r="E28" s="17">
        <f>CotProveedor!K32</f>
        <v>0</v>
      </c>
      <c r="F28" s="17">
        <f t="shared" si="0"/>
        <v>0</v>
      </c>
    </row>
    <row r="29" spans="1:6" ht="37.5" customHeight="1" x14ac:dyDescent="0.25">
      <c r="A29" s="19">
        <v>28</v>
      </c>
      <c r="B29" s="20">
        <f>+CotProveedor!A33</f>
        <v>0</v>
      </c>
      <c r="C29" s="16" t="str">
        <f>CONCATENATE(CotProveedor!B33,"      ",CHAR(47)," ",CotProveedor!$L$2, " ",CotProveedor!L33)</f>
        <v xml:space="preserve">      / T. E. S. P. V. </v>
      </c>
      <c r="D29" s="15">
        <f>+CotProveedor!C33</f>
        <v>0</v>
      </c>
      <c r="E29" s="17">
        <f>CotProveedor!K33</f>
        <v>0</v>
      </c>
      <c r="F29" s="17">
        <f t="shared" si="0"/>
        <v>0</v>
      </c>
    </row>
    <row r="30" spans="1:6" ht="37.5" customHeight="1" x14ac:dyDescent="0.25">
      <c r="A30" s="19">
        <v>29</v>
      </c>
      <c r="B30" s="20">
        <f>+CotProveedor!A34</f>
        <v>0</v>
      </c>
      <c r="C30" s="16" t="str">
        <f>CONCATENATE(CotProveedor!B34,"      ",CHAR(47)," ",CotProveedor!$L$2, " ",CotProveedor!L34)</f>
        <v xml:space="preserve">      / T. E. S. P. V. </v>
      </c>
      <c r="D30" s="15">
        <f>+CotProveedor!C34</f>
        <v>0</v>
      </c>
      <c r="E30" s="17">
        <f>CotProveedor!K34</f>
        <v>0</v>
      </c>
      <c r="F30" s="17">
        <f t="shared" si="0"/>
        <v>0</v>
      </c>
    </row>
    <row r="31" spans="1:6" ht="51" customHeight="1" x14ac:dyDescent="0.25">
      <c r="A31" s="19">
        <v>30</v>
      </c>
      <c r="B31" s="20">
        <f>+CotProveedor!A35</f>
        <v>0</v>
      </c>
      <c r="C31" s="16" t="str">
        <f>CONCATENATE(CotProveedor!B35,"      ",CHAR(47)," ",CotProveedor!$L$2, " ",CotProveedor!L35)</f>
        <v xml:space="preserve">      / T. E. S. P. V. </v>
      </c>
      <c r="D31" s="15">
        <f>+CotProveedor!C35</f>
        <v>0</v>
      </c>
      <c r="E31" s="17">
        <f>CotProveedor!K35</f>
        <v>0</v>
      </c>
      <c r="F31" s="17">
        <f t="shared" si="0"/>
        <v>0</v>
      </c>
    </row>
    <row r="32" spans="1:6" ht="37.5" customHeight="1" x14ac:dyDescent="0.25">
      <c r="A32" s="19">
        <v>31</v>
      </c>
      <c r="B32" s="20">
        <f>+CotProveedor!A36</f>
        <v>0</v>
      </c>
      <c r="C32" s="16" t="str">
        <f>CONCATENATE(CotProveedor!B36,"      ",CHAR(47)," ",CotProveedor!$L$2, " ",CotProveedor!L36)</f>
        <v xml:space="preserve">      / T. E. S. P. V. </v>
      </c>
      <c r="D32" s="15">
        <f>+CotProveedor!C36</f>
        <v>0</v>
      </c>
      <c r="E32" s="17">
        <f>CotProveedor!K36</f>
        <v>0</v>
      </c>
      <c r="F32" s="17">
        <f t="shared" si="0"/>
        <v>0</v>
      </c>
    </row>
    <row r="33" spans="1:6" ht="37.5" customHeight="1" x14ac:dyDescent="0.25">
      <c r="A33" s="19">
        <v>32</v>
      </c>
      <c r="B33" s="20">
        <f>+CotProveedor!A37</f>
        <v>0</v>
      </c>
      <c r="C33" s="16" t="str">
        <f>CONCATENATE(CotProveedor!B37,"      ",CHAR(47)," ",CotProveedor!$L$2, " ",CotProveedor!L37)</f>
        <v xml:space="preserve">      / T. E. S. P. V. </v>
      </c>
      <c r="D33" s="15">
        <f>+CotProveedor!C37</f>
        <v>0</v>
      </c>
      <c r="E33" s="17">
        <f>CotProveedor!K37</f>
        <v>0</v>
      </c>
      <c r="F33" s="17">
        <f t="shared" si="0"/>
        <v>0</v>
      </c>
    </row>
    <row r="34" spans="1:6" ht="37.5" customHeight="1" x14ac:dyDescent="0.25">
      <c r="A34" s="19">
        <v>33</v>
      </c>
      <c r="B34" s="20">
        <f>+CotProveedor!A38</f>
        <v>0</v>
      </c>
      <c r="C34" s="16" t="str">
        <f>CONCATENATE(CotProveedor!B38,"      ",CHAR(47)," ",CotProveedor!$L$2, " ",CotProveedor!L38)</f>
        <v xml:space="preserve">      / T. E. S. P. V. </v>
      </c>
      <c r="D34" s="15">
        <f>+CotProveedor!C38</f>
        <v>0</v>
      </c>
      <c r="E34" s="17">
        <f>CotProveedor!K38</f>
        <v>0</v>
      </c>
      <c r="F34" s="17">
        <f t="shared" si="0"/>
        <v>0</v>
      </c>
    </row>
    <row r="35" spans="1:6" ht="37.5" customHeight="1" x14ac:dyDescent="0.25">
      <c r="A35" s="19">
        <v>34</v>
      </c>
      <c r="B35" s="20">
        <f>+CotProveedor!A39</f>
        <v>0</v>
      </c>
      <c r="C35" s="16" t="str">
        <f>CONCATENATE(CotProveedor!B39,"      ",CHAR(47)," ",CotProveedor!$L$2, " ",CotProveedor!L39)</f>
        <v xml:space="preserve">      / T. E. S. P. V. </v>
      </c>
      <c r="D35" s="15">
        <f>+CotProveedor!C39</f>
        <v>0</v>
      </c>
      <c r="E35" s="17">
        <f>CotProveedor!K39</f>
        <v>0</v>
      </c>
      <c r="F35" s="17">
        <f t="shared" si="0"/>
        <v>0</v>
      </c>
    </row>
    <row r="36" spans="1:6" ht="37.5" customHeight="1" x14ac:dyDescent="0.25">
      <c r="A36" s="19">
        <v>35</v>
      </c>
      <c r="B36" s="20">
        <f>+CotProveedor!A40</f>
        <v>0</v>
      </c>
      <c r="C36" s="16" t="str">
        <f>CONCATENATE(CotProveedor!B40,"      ",CHAR(47)," ",CotProveedor!$L$2, " ",CotProveedor!L40)</f>
        <v xml:space="preserve">      / T. E. S. P. V. </v>
      </c>
      <c r="D36" s="15">
        <f>+CotProveedor!C40</f>
        <v>0</v>
      </c>
      <c r="E36" s="17">
        <f>CotProveedor!K40</f>
        <v>0</v>
      </c>
      <c r="F36" s="17">
        <f t="shared" si="0"/>
        <v>0</v>
      </c>
    </row>
    <row r="37" spans="1:6" ht="37.5" customHeight="1" x14ac:dyDescent="0.25">
      <c r="A37" s="19">
        <v>36</v>
      </c>
      <c r="B37" s="20">
        <f>+CotProveedor!A41</f>
        <v>0</v>
      </c>
      <c r="C37" s="16" t="str">
        <f>CONCATENATE(CotProveedor!B41,"      ",CHAR(47)," ",CotProveedor!$L$2, " ",CotProveedor!L41)</f>
        <v xml:space="preserve">      / T. E. S. P. V. </v>
      </c>
      <c r="D37" s="15">
        <f>+CotProveedor!C41</f>
        <v>0</v>
      </c>
      <c r="E37" s="17">
        <f>CotProveedor!K41</f>
        <v>0</v>
      </c>
      <c r="F37" s="17">
        <f t="shared" si="0"/>
        <v>0</v>
      </c>
    </row>
    <row r="38" spans="1:6" ht="37.5" customHeight="1" x14ac:dyDescent="0.25">
      <c r="A38" s="19">
        <v>37</v>
      </c>
      <c r="B38" s="20">
        <f>+CotProveedor!A42</f>
        <v>0</v>
      </c>
      <c r="C38" s="16" t="str">
        <f>CONCATENATE(CotProveedor!B42,"      ",CHAR(47)," ",CotProveedor!$L$2, " ",CotProveedor!L42)</f>
        <v xml:space="preserve">      / T. E. S. P. V. </v>
      </c>
      <c r="D38" s="15">
        <f>+CotProveedor!C42</f>
        <v>0</v>
      </c>
      <c r="E38" s="17">
        <f>CotProveedor!K42</f>
        <v>0</v>
      </c>
      <c r="F38" s="17">
        <f t="shared" si="0"/>
        <v>0</v>
      </c>
    </row>
    <row r="39" spans="1:6" ht="37.5" customHeight="1" x14ac:dyDescent="0.25">
      <c r="A39" s="19">
        <v>38</v>
      </c>
      <c r="B39" s="20">
        <f>+CotProveedor!A43</f>
        <v>0</v>
      </c>
      <c r="C39" s="16" t="str">
        <f>CONCATENATE(CotProveedor!B43,"      ",CHAR(47)," ",CotProveedor!$L$2, " ",CotProveedor!L43)</f>
        <v xml:space="preserve">      / T. E. S. P. V. </v>
      </c>
      <c r="D39" s="15">
        <f>+CotProveedor!C43</f>
        <v>0</v>
      </c>
      <c r="E39" s="17">
        <f>CotProveedor!K43</f>
        <v>0</v>
      </c>
      <c r="F39" s="17">
        <f t="shared" si="0"/>
        <v>0</v>
      </c>
    </row>
    <row r="40" spans="1:6" ht="37.5" customHeight="1" x14ac:dyDescent="0.25">
      <c r="A40" s="19">
        <v>39</v>
      </c>
      <c r="B40" s="20">
        <f>+CotProveedor!A44</f>
        <v>0</v>
      </c>
      <c r="C40" s="16" t="str">
        <f>CONCATENATE(CotProveedor!B44,"      ",CHAR(47)," ",CotProveedor!$L$2, " ",CotProveedor!L44)</f>
        <v xml:space="preserve">      / T. E. S. P. V. </v>
      </c>
      <c r="D40" s="15">
        <f>+CotProveedor!C44</f>
        <v>0</v>
      </c>
      <c r="E40" s="17">
        <f>CotProveedor!K44</f>
        <v>0</v>
      </c>
      <c r="F40" s="17">
        <f t="shared" si="0"/>
        <v>0</v>
      </c>
    </row>
    <row r="41" spans="1:6" ht="37.5" customHeight="1" x14ac:dyDescent="0.25">
      <c r="A41" s="19">
        <v>40</v>
      </c>
      <c r="B41" s="20">
        <f>+CotProveedor!A45</f>
        <v>0</v>
      </c>
      <c r="C41" s="16" t="str">
        <f>CONCATENATE(CotProveedor!B45,"      ",CHAR(47)," ",CotProveedor!$L$2, " ",CotProveedor!L45)</f>
        <v xml:space="preserve">      / T. E. S. P. V. </v>
      </c>
      <c r="D41" s="15">
        <f>+CotProveedor!C45</f>
        <v>0</v>
      </c>
      <c r="E41" s="17">
        <f>CotProveedor!K45</f>
        <v>0</v>
      </c>
      <c r="F41" s="17">
        <f t="shared" si="0"/>
        <v>0</v>
      </c>
    </row>
    <row r="42" spans="1:6" ht="37.5" customHeight="1" x14ac:dyDescent="0.25">
      <c r="A42" s="19">
        <v>41</v>
      </c>
      <c r="B42" s="20">
        <f>+CotProveedor!A46</f>
        <v>0</v>
      </c>
      <c r="C42" s="16" t="str">
        <f>CONCATENATE(CotProveedor!B46,"      ",CHAR(47)," ",CotProveedor!$L$2, " ",CotProveedor!L46)</f>
        <v xml:space="preserve">      / T. E. S. P. V. </v>
      </c>
      <c r="D42" s="15">
        <f>+CotProveedor!C46</f>
        <v>0</v>
      </c>
      <c r="E42" s="17">
        <f>CotProveedor!K46</f>
        <v>0</v>
      </c>
      <c r="F42" s="17">
        <f t="shared" si="0"/>
        <v>0</v>
      </c>
    </row>
    <row r="43" spans="1:6" ht="37.5" customHeight="1" x14ac:dyDescent="0.25">
      <c r="A43" s="19">
        <v>42</v>
      </c>
      <c r="B43" s="20">
        <f>+CotProveedor!A47</f>
        <v>0</v>
      </c>
      <c r="C43" s="16" t="str">
        <f>CONCATENATE(CotProveedor!B47,"      ",CHAR(47)," ",CotProveedor!$L$2, " ",CotProveedor!L47)</f>
        <v xml:space="preserve">      / T. E. S. P. V. </v>
      </c>
      <c r="D43" s="15">
        <f>+CotProveedor!C47</f>
        <v>0</v>
      </c>
      <c r="E43" s="17">
        <f>CotProveedor!K47</f>
        <v>0</v>
      </c>
      <c r="F43" s="17">
        <f t="shared" si="0"/>
        <v>0</v>
      </c>
    </row>
    <row r="44" spans="1:6" ht="37.5" customHeight="1" x14ac:dyDescent="0.25">
      <c r="A44" s="19">
        <v>43</v>
      </c>
      <c r="B44" s="20">
        <f>+CotProveedor!A48</f>
        <v>0</v>
      </c>
      <c r="C44" s="16" t="str">
        <f>CONCATENATE(CotProveedor!B48,"      ",CHAR(47)," ",CotProveedor!$L$2, " ",CotProveedor!L48)</f>
        <v xml:space="preserve">      / T. E. S. P. V. </v>
      </c>
      <c r="D44" s="15">
        <f>+CotProveedor!C48</f>
        <v>0</v>
      </c>
      <c r="E44" s="17">
        <f>CotProveedor!K48</f>
        <v>0</v>
      </c>
      <c r="F44" s="17">
        <f t="shared" si="0"/>
        <v>0</v>
      </c>
    </row>
    <row r="45" spans="1:6" ht="37.5" customHeight="1" x14ac:dyDescent="0.25">
      <c r="A45" s="19">
        <v>44</v>
      </c>
      <c r="B45" s="20">
        <f>+CotProveedor!A49</f>
        <v>0</v>
      </c>
      <c r="C45" s="16" t="str">
        <f>CONCATENATE(CotProveedor!B49,"      ",CHAR(47)," ",CotProveedor!$L$2, " ",CotProveedor!L49)</f>
        <v xml:space="preserve">      / T. E. S. P. V. </v>
      </c>
      <c r="D45" s="15">
        <f>+CotProveedor!C49</f>
        <v>0</v>
      </c>
      <c r="E45" s="17">
        <f>CotProveedor!K49</f>
        <v>0</v>
      </c>
      <c r="F45" s="17">
        <f t="shared" si="0"/>
        <v>0</v>
      </c>
    </row>
    <row r="46" spans="1:6" ht="37.5" customHeight="1" x14ac:dyDescent="0.25">
      <c r="A46" s="19">
        <v>45</v>
      </c>
      <c r="B46" s="20">
        <f>+CotProveedor!A50</f>
        <v>0</v>
      </c>
      <c r="C46" s="16" t="str">
        <f>CONCATENATE(CotProveedor!B50,"      ",CHAR(47)," ",CotProveedor!$L$2, " ",CotProveedor!L50)</f>
        <v xml:space="preserve">      / T. E. S. P. V. </v>
      </c>
      <c r="D46" s="15">
        <f>+CotProveedor!C50</f>
        <v>0</v>
      </c>
      <c r="E46" s="17">
        <f>CotProveedor!K50</f>
        <v>0</v>
      </c>
      <c r="F46" s="17">
        <f t="shared" si="0"/>
        <v>0</v>
      </c>
    </row>
    <row r="47" spans="1:6" ht="37.5" customHeight="1" x14ac:dyDescent="0.25">
      <c r="A47" s="19">
        <v>46</v>
      </c>
      <c r="B47" s="20">
        <f>+CotProveedor!A51</f>
        <v>0</v>
      </c>
      <c r="C47" s="16" t="str">
        <f>CONCATENATE(CotProveedor!B51,"      ",CHAR(47)," ",CotProveedor!$L$2, " ",CotProveedor!L51)</f>
        <v xml:space="preserve">      / T. E. S. P. V. </v>
      </c>
      <c r="D47" s="15">
        <f>+CotProveedor!C51</f>
        <v>0</v>
      </c>
      <c r="E47" s="17">
        <f>CotProveedor!K51</f>
        <v>0</v>
      </c>
      <c r="F47" s="17">
        <f t="shared" si="0"/>
        <v>0</v>
      </c>
    </row>
    <row r="48" spans="1:6" ht="37.5" customHeight="1" x14ac:dyDescent="0.25">
      <c r="A48" s="19">
        <v>47</v>
      </c>
      <c r="B48" s="20">
        <f>+CotProveedor!A52</f>
        <v>0</v>
      </c>
      <c r="C48" s="16" t="str">
        <f>CONCATENATE(CotProveedor!B52,"      ",CHAR(47)," ",CotProveedor!$L$2, " ",CotProveedor!L52)</f>
        <v xml:space="preserve">      / T. E. S. P. V. </v>
      </c>
      <c r="D48" s="15">
        <f>+CotProveedor!C52</f>
        <v>0</v>
      </c>
      <c r="E48" s="17">
        <f>CotProveedor!K52</f>
        <v>0</v>
      </c>
      <c r="F48" s="17">
        <f t="shared" si="0"/>
        <v>0</v>
      </c>
    </row>
    <row r="49" spans="1:6" ht="37.5" customHeight="1" x14ac:dyDescent="0.25">
      <c r="A49" s="19">
        <v>48</v>
      </c>
      <c r="B49" s="20">
        <f>+CotProveedor!A53</f>
        <v>0</v>
      </c>
      <c r="C49" s="16" t="str">
        <f>CONCATENATE(CotProveedor!B53,"      ",CHAR(47)," ",CotProveedor!$L$2, " ",CotProveedor!L53)</f>
        <v xml:space="preserve">      / T. E. S. P. V. </v>
      </c>
      <c r="D49" s="15">
        <f>+CotProveedor!C53</f>
        <v>0</v>
      </c>
      <c r="E49" s="17">
        <f>CotProveedor!K53</f>
        <v>0</v>
      </c>
      <c r="F49" s="17">
        <f t="shared" si="0"/>
        <v>0</v>
      </c>
    </row>
    <row r="50" spans="1:6" ht="31.5" customHeight="1" x14ac:dyDescent="0.25">
      <c r="A50" s="19">
        <v>49</v>
      </c>
      <c r="B50" s="20">
        <f>+CotProveedor!A54</f>
        <v>0</v>
      </c>
      <c r="C50" s="16" t="str">
        <f>CONCATENATE(CotProveedor!B54,"      ",CHAR(47)," ",CotProveedor!$L$2, " ",CotProveedor!L54)</f>
        <v xml:space="preserve">      / T. E. S. P. V. </v>
      </c>
      <c r="D50" s="15">
        <f>+CotProveedor!C54</f>
        <v>0</v>
      </c>
      <c r="E50" s="17">
        <f>CotProveedor!K54</f>
        <v>0</v>
      </c>
      <c r="F50" s="17">
        <f t="shared" si="0"/>
        <v>0</v>
      </c>
    </row>
    <row r="51" spans="1:6" ht="31.5" customHeight="1" x14ac:dyDescent="0.25">
      <c r="A51" s="19">
        <v>50</v>
      </c>
      <c r="B51" s="20">
        <f>+CotProveedor!A55</f>
        <v>0</v>
      </c>
      <c r="C51" s="16" t="str">
        <f>CONCATENATE(CotProveedor!B55,"      ",CHAR(47)," ",CotProveedor!$L$2, " ",CotProveedor!L55)</f>
        <v xml:space="preserve">      / T. E. S. P. V. </v>
      </c>
      <c r="D51" s="15">
        <f>+CotProveedor!C55</f>
        <v>0</v>
      </c>
      <c r="E51" s="17">
        <f>CotProveedor!K55</f>
        <v>0</v>
      </c>
      <c r="F51" s="17">
        <f t="shared" si="0"/>
        <v>0</v>
      </c>
    </row>
    <row r="52" spans="1:6" ht="37.5" customHeight="1" x14ac:dyDescent="0.25">
      <c r="A52" s="19">
        <v>51</v>
      </c>
      <c r="B52" s="20">
        <f>+CotProveedor!A56</f>
        <v>0</v>
      </c>
      <c r="C52" s="16" t="str">
        <f>CONCATENATE(CotProveedor!B56,"      ",CHAR(47)," ",CotProveedor!$L$2, " ",CotProveedor!L56)</f>
        <v xml:space="preserve">      / T. E. S. P. V. </v>
      </c>
      <c r="D52" s="15">
        <f>+CotProveedor!C56</f>
        <v>0</v>
      </c>
      <c r="E52" s="17">
        <f>CotProveedor!K56</f>
        <v>0</v>
      </c>
      <c r="F52" s="17">
        <f t="shared" si="0"/>
        <v>0</v>
      </c>
    </row>
    <row r="53" spans="1:6" ht="37.5" customHeight="1" x14ac:dyDescent="0.25">
      <c r="A53" s="19">
        <v>52</v>
      </c>
      <c r="B53" s="20">
        <f>+CotProveedor!A57</f>
        <v>0</v>
      </c>
      <c r="C53" s="16" t="str">
        <f>CONCATENATE(CotProveedor!B57,"      ",CHAR(47)," ",CotProveedor!$L$2, " ",CotProveedor!L57)</f>
        <v xml:space="preserve">      / T. E. S. P. V. </v>
      </c>
      <c r="D53" s="15">
        <f>+CotProveedor!C57</f>
        <v>0</v>
      </c>
      <c r="E53" s="17">
        <f>CotProveedor!K57</f>
        <v>0</v>
      </c>
      <c r="F53" s="17">
        <f t="shared" si="0"/>
        <v>0</v>
      </c>
    </row>
    <row r="54" spans="1:6" ht="31.5" customHeight="1" x14ac:dyDescent="0.25">
      <c r="A54" s="19">
        <v>53</v>
      </c>
      <c r="B54" s="20">
        <f>+CotProveedor!A58</f>
        <v>0</v>
      </c>
      <c r="C54" s="16" t="str">
        <f>CONCATENATE(CotProveedor!B58,"      ",CHAR(47)," ",CotProveedor!$L$2, " ",CotProveedor!L58)</f>
        <v xml:space="preserve">      / T. E. S. P. V. </v>
      </c>
      <c r="D54" s="15">
        <f>+CotProveedor!C58</f>
        <v>0</v>
      </c>
      <c r="E54" s="17">
        <f>CotProveedor!K58</f>
        <v>0</v>
      </c>
      <c r="F54" s="17">
        <f t="shared" si="0"/>
        <v>0</v>
      </c>
    </row>
    <row r="55" spans="1:6" ht="31.5" customHeight="1" x14ac:dyDescent="0.25">
      <c r="A55" s="19">
        <v>54</v>
      </c>
      <c r="B55" s="20">
        <f>+CotProveedor!A59</f>
        <v>0</v>
      </c>
      <c r="C55" s="16" t="str">
        <f>CONCATENATE(CotProveedor!B59,"      ",CHAR(47)," ",CotProveedor!$L$2, " ",CotProveedor!L59)</f>
        <v xml:space="preserve">      / T. E. S. P. V. </v>
      </c>
      <c r="D55" s="15">
        <f>+CotProveedor!C59</f>
        <v>0</v>
      </c>
      <c r="E55" s="17">
        <f>CotProveedor!K59</f>
        <v>0</v>
      </c>
      <c r="F55" s="17">
        <f t="shared" si="0"/>
        <v>0</v>
      </c>
    </row>
    <row r="56" spans="1:6" ht="31.5" customHeight="1" x14ac:dyDescent="0.25">
      <c r="A56" s="19">
        <v>55</v>
      </c>
      <c r="B56" s="20">
        <f>+CotProveedor!A60</f>
        <v>0</v>
      </c>
      <c r="C56" s="16" t="str">
        <f>CONCATENATE(CotProveedor!B60,"      ",CHAR(47)," ",CotProveedor!$L$2, " ",CotProveedor!L60)</f>
        <v xml:space="preserve">      / T. E. S. P. V. </v>
      </c>
      <c r="D56" s="15">
        <f>+CotProveedor!C60</f>
        <v>0</v>
      </c>
      <c r="E56" s="17">
        <f>CotProveedor!K60</f>
        <v>0</v>
      </c>
      <c r="F56" s="17">
        <f t="shared" si="0"/>
        <v>0</v>
      </c>
    </row>
    <row r="57" spans="1:6" ht="31.5" customHeight="1" x14ac:dyDescent="0.25">
      <c r="A57" s="19">
        <v>56</v>
      </c>
      <c r="B57" s="20">
        <f>+CotProveedor!A61</f>
        <v>0</v>
      </c>
      <c r="C57" s="16" t="str">
        <f>CONCATENATE(CotProveedor!B61,"      ",CHAR(47)," ",CotProveedor!$L$2, " ",CotProveedor!L61)</f>
        <v xml:space="preserve">      / T. E. S. P. V. </v>
      </c>
      <c r="D57" s="15">
        <f>+CotProveedor!C61</f>
        <v>0</v>
      </c>
      <c r="E57" s="17">
        <f>CotProveedor!K61</f>
        <v>0</v>
      </c>
      <c r="F57" s="17">
        <f t="shared" si="0"/>
        <v>0</v>
      </c>
    </row>
    <row r="58" spans="1:6" ht="37.5" customHeight="1" x14ac:dyDescent="0.25">
      <c r="A58" s="19">
        <v>57</v>
      </c>
      <c r="B58" s="20">
        <f>+CotProveedor!A62</f>
        <v>0</v>
      </c>
      <c r="C58" s="16" t="str">
        <f>CONCATENATE(CotProveedor!B62,"      ",CHAR(47)," ",CotProveedor!$L$2, " ",CotProveedor!L62)</f>
        <v xml:space="preserve">      / T. E. S. P. V. </v>
      </c>
      <c r="D58" s="15">
        <f>+CotProveedor!C62</f>
        <v>0</v>
      </c>
      <c r="E58" s="17">
        <f>CotProveedor!K62</f>
        <v>0</v>
      </c>
      <c r="F58" s="17">
        <f t="shared" si="0"/>
        <v>0</v>
      </c>
    </row>
    <row r="59" spans="1:6" ht="37.5" customHeight="1" x14ac:dyDescent="0.25">
      <c r="A59" s="19">
        <v>58</v>
      </c>
      <c r="B59" s="20">
        <f>+CotProveedor!A63</f>
        <v>0</v>
      </c>
      <c r="C59" s="16" t="str">
        <f>CONCATENATE(CotProveedor!B63,"      ",CHAR(47)," ",CotProveedor!$L$2, " ",CotProveedor!L63)</f>
        <v xml:space="preserve">      / T. E. S. P. V. </v>
      </c>
      <c r="D59" s="15">
        <f>+CotProveedor!C63</f>
        <v>0</v>
      </c>
      <c r="E59" s="17">
        <f>CotProveedor!K63</f>
        <v>0</v>
      </c>
      <c r="F59" s="17">
        <f t="shared" si="0"/>
        <v>0</v>
      </c>
    </row>
    <row r="60" spans="1:6" ht="37.5" customHeight="1" x14ac:dyDescent="0.25">
      <c r="A60" s="19">
        <v>59</v>
      </c>
      <c r="B60" s="20">
        <f>+CotProveedor!A64</f>
        <v>0</v>
      </c>
      <c r="C60" s="16" t="str">
        <f>CONCATENATE(CotProveedor!B64,"      ",CHAR(47)," ",CotProveedor!$L$2, " ",CotProveedor!L64)</f>
        <v xml:space="preserve">      / T. E. S. P. V. </v>
      </c>
      <c r="D60" s="15">
        <f>+CotProveedor!C64</f>
        <v>0</v>
      </c>
      <c r="E60" s="17">
        <f>CotProveedor!K64</f>
        <v>0</v>
      </c>
      <c r="F60" s="17">
        <f t="shared" si="0"/>
        <v>0</v>
      </c>
    </row>
    <row r="61" spans="1:6" ht="37.5" customHeight="1" x14ac:dyDescent="0.25">
      <c r="A61" s="19">
        <v>60</v>
      </c>
      <c r="B61" s="20">
        <f>+CotProveedor!A65</f>
        <v>0</v>
      </c>
      <c r="C61" s="16" t="str">
        <f>CONCATENATE(CotProveedor!B65,"      ",CHAR(47)," ",CotProveedor!$L$2, " ",CotProveedor!L65)</f>
        <v xml:space="preserve">      / T. E. S. P. V. </v>
      </c>
      <c r="D61" s="15">
        <f>+CotProveedor!C65</f>
        <v>0</v>
      </c>
      <c r="E61" s="17">
        <f>CotProveedor!K65</f>
        <v>0</v>
      </c>
      <c r="F61" s="17">
        <f t="shared" si="0"/>
        <v>0</v>
      </c>
    </row>
    <row r="62" spans="1:6" ht="37.5" customHeight="1" x14ac:dyDescent="0.25">
      <c r="A62" s="19">
        <v>61</v>
      </c>
      <c r="B62" s="20">
        <f>+CotProveedor!A66</f>
        <v>0</v>
      </c>
      <c r="C62" s="16" t="str">
        <f>CONCATENATE(CotProveedor!B66,"      ",CHAR(47)," ",CotProveedor!$L$2, " ",CotProveedor!L66)</f>
        <v xml:space="preserve">      / T. E. S. P. V. </v>
      </c>
      <c r="D62" s="15">
        <f>+CotProveedor!C66</f>
        <v>0</v>
      </c>
      <c r="E62" s="17">
        <f>CotProveedor!K66</f>
        <v>0</v>
      </c>
      <c r="F62" s="17">
        <f t="shared" si="0"/>
        <v>0</v>
      </c>
    </row>
    <row r="63" spans="1:6" ht="37.5" customHeight="1" x14ac:dyDescent="0.25">
      <c r="A63" s="19">
        <v>62</v>
      </c>
      <c r="B63" s="20">
        <f>+CotProveedor!A67</f>
        <v>0</v>
      </c>
      <c r="C63" s="16" t="str">
        <f>CONCATENATE(CotProveedor!B67,"      ",CHAR(47)," ",CotProveedor!$L$2, " ",CotProveedor!L67)</f>
        <v xml:space="preserve">      / T. E. S. P. V. </v>
      </c>
      <c r="D63" s="15">
        <f>+CotProveedor!C67</f>
        <v>0</v>
      </c>
      <c r="E63" s="17">
        <f>CotProveedor!K67</f>
        <v>0</v>
      </c>
      <c r="F63" s="17">
        <f t="shared" si="0"/>
        <v>0</v>
      </c>
    </row>
    <row r="64" spans="1:6" ht="37.5" customHeight="1" x14ac:dyDescent="0.25">
      <c r="A64" s="19">
        <v>63</v>
      </c>
      <c r="B64" s="20">
        <f>+CotProveedor!A68</f>
        <v>0</v>
      </c>
      <c r="C64" s="16" t="str">
        <f>CONCATENATE(CotProveedor!B68,"      ",CHAR(47)," ",CotProveedor!$L$2, " ",CotProveedor!L68)</f>
        <v xml:space="preserve">      / T. E. S. P. V. </v>
      </c>
      <c r="D64" s="15">
        <f>+CotProveedor!C68</f>
        <v>0</v>
      </c>
      <c r="E64" s="17">
        <f>CotProveedor!K68</f>
        <v>0</v>
      </c>
      <c r="F64" s="17">
        <f t="shared" si="0"/>
        <v>0</v>
      </c>
    </row>
    <row r="65" spans="1:6" ht="37.5" customHeight="1" x14ac:dyDescent="0.25">
      <c r="A65" s="19">
        <v>64</v>
      </c>
      <c r="B65" s="20">
        <f>+CotProveedor!A69</f>
        <v>0</v>
      </c>
      <c r="C65" s="16" t="str">
        <f>CONCATENATE(CotProveedor!B69,"      ",CHAR(47)," ",CotProveedor!$L$2, " ",CotProveedor!L69)</f>
        <v xml:space="preserve">      / T. E. S. P. V. </v>
      </c>
      <c r="D65" s="15">
        <f>+CotProveedor!C69</f>
        <v>0</v>
      </c>
      <c r="E65" s="17">
        <f>CotProveedor!K69</f>
        <v>0</v>
      </c>
      <c r="F65" s="17">
        <f t="shared" si="0"/>
        <v>0</v>
      </c>
    </row>
    <row r="66" spans="1:6" ht="37.5" customHeight="1" x14ac:dyDescent="0.25">
      <c r="A66" s="19">
        <v>65</v>
      </c>
      <c r="B66" s="20">
        <f>+CotProveedor!A70</f>
        <v>0</v>
      </c>
      <c r="C66" s="16" t="str">
        <f>CONCATENATE(CotProveedor!B70,"      ",CHAR(47)," ",CotProveedor!$L$2, " ",CotProveedor!L70)</f>
        <v xml:space="preserve">      / T. E. S. P. V. </v>
      </c>
      <c r="D66" s="15">
        <f>+CotProveedor!C70</f>
        <v>0</v>
      </c>
      <c r="E66" s="17">
        <f>CotProveedor!K70</f>
        <v>0</v>
      </c>
      <c r="F66" s="17">
        <f t="shared" si="0"/>
        <v>0</v>
      </c>
    </row>
    <row r="67" spans="1:6" ht="37.5" customHeight="1" x14ac:dyDescent="0.25">
      <c r="A67" s="19">
        <v>66</v>
      </c>
      <c r="B67" s="20">
        <f>+CotProveedor!A71</f>
        <v>0</v>
      </c>
      <c r="C67" s="16" t="str">
        <f>CONCATENATE(CotProveedor!B71,"      ",CHAR(47)," ",CotProveedor!$L$2, " ",CotProveedor!L71)</f>
        <v xml:space="preserve">      / T. E. S. P. V. </v>
      </c>
      <c r="D67" s="15">
        <f>+CotProveedor!C71</f>
        <v>0</v>
      </c>
      <c r="E67" s="17">
        <f>CotProveedor!K71</f>
        <v>0</v>
      </c>
      <c r="F67" s="17">
        <f t="shared" ref="F67:F110" si="1">D67*E67</f>
        <v>0</v>
      </c>
    </row>
    <row r="68" spans="1:6" ht="37.5" customHeight="1" x14ac:dyDescent="0.25">
      <c r="A68" s="19">
        <v>67</v>
      </c>
      <c r="B68" s="20">
        <f>+CotProveedor!A72</f>
        <v>0</v>
      </c>
      <c r="C68" s="16" t="str">
        <f>CONCATENATE(CotProveedor!B72,"      ",CHAR(47)," ",CotProveedor!$L$2, " ",CotProveedor!L72)</f>
        <v xml:space="preserve">      / T. E. S. P. V. </v>
      </c>
      <c r="D68" s="15">
        <f>+CotProveedor!C72</f>
        <v>0</v>
      </c>
      <c r="E68" s="17">
        <f>CotProveedor!K72</f>
        <v>0</v>
      </c>
      <c r="F68" s="17">
        <f t="shared" si="1"/>
        <v>0</v>
      </c>
    </row>
    <row r="69" spans="1:6" ht="37.5" customHeight="1" x14ac:dyDescent="0.25">
      <c r="A69" s="19">
        <v>68</v>
      </c>
      <c r="B69" s="20">
        <f>+CotProveedor!A73</f>
        <v>0</v>
      </c>
      <c r="C69" s="16" t="str">
        <f>CONCATENATE(CotProveedor!B73,"      ",CHAR(47)," ",CotProveedor!$L$2, " ",CotProveedor!L73)</f>
        <v xml:space="preserve">      / T. E. S. P. V. </v>
      </c>
      <c r="D69" s="15">
        <f>+CotProveedor!C73</f>
        <v>0</v>
      </c>
      <c r="E69" s="17">
        <f>CotProveedor!K73</f>
        <v>0</v>
      </c>
      <c r="F69" s="17">
        <f t="shared" si="1"/>
        <v>0</v>
      </c>
    </row>
    <row r="70" spans="1:6" ht="37.5" customHeight="1" x14ac:dyDescent="0.25">
      <c r="A70" s="19">
        <v>69</v>
      </c>
      <c r="B70" s="20">
        <f>+CotProveedor!A74</f>
        <v>0</v>
      </c>
      <c r="C70" s="16" t="str">
        <f>CONCATENATE(CotProveedor!B74,"      ",CHAR(47)," ",CotProveedor!$L$2, " ",CotProveedor!L74)</f>
        <v xml:space="preserve">      / T. E. S. P. V. </v>
      </c>
      <c r="D70" s="15">
        <f>+CotProveedor!C74</f>
        <v>0</v>
      </c>
      <c r="E70" s="17">
        <f>CotProveedor!K74</f>
        <v>0</v>
      </c>
      <c r="F70" s="17">
        <f t="shared" si="1"/>
        <v>0</v>
      </c>
    </row>
    <row r="71" spans="1:6" ht="37.5" customHeight="1" x14ac:dyDescent="0.25">
      <c r="A71" s="19">
        <v>70</v>
      </c>
      <c r="B71" s="20">
        <f>+CotProveedor!A75</f>
        <v>0</v>
      </c>
      <c r="C71" s="16" t="str">
        <f>CONCATENATE(CotProveedor!B75,"      ",CHAR(47)," ",CotProveedor!$L$2, " ",CotProveedor!L75)</f>
        <v xml:space="preserve">      / T. E. S. P. V. </v>
      </c>
      <c r="D71" s="15">
        <f>+CotProveedor!C75</f>
        <v>0</v>
      </c>
      <c r="E71" s="17">
        <f>CotProveedor!K75</f>
        <v>0</v>
      </c>
      <c r="F71" s="17">
        <f t="shared" si="1"/>
        <v>0</v>
      </c>
    </row>
    <row r="72" spans="1:6" ht="37.5" customHeight="1" x14ac:dyDescent="0.25">
      <c r="A72" s="19">
        <v>71</v>
      </c>
      <c r="B72" s="20">
        <f>+CotProveedor!A76</f>
        <v>0</v>
      </c>
      <c r="C72" s="16" t="str">
        <f>CONCATENATE(CotProveedor!B76,"      ",CHAR(47)," ",CotProveedor!$L$2, " ",CotProveedor!L76)</f>
        <v xml:space="preserve">      / T. E. S. P. V. </v>
      </c>
      <c r="D72" s="15">
        <f>+CotProveedor!C76</f>
        <v>0</v>
      </c>
      <c r="E72" s="17">
        <f>CotProveedor!K76</f>
        <v>0</v>
      </c>
      <c r="F72" s="17">
        <f t="shared" si="1"/>
        <v>0</v>
      </c>
    </row>
    <row r="73" spans="1:6" ht="37.5" customHeight="1" x14ac:dyDescent="0.25">
      <c r="A73" s="19">
        <v>72</v>
      </c>
      <c r="B73" s="20">
        <f>+CotProveedor!A77</f>
        <v>0</v>
      </c>
      <c r="C73" s="16" t="str">
        <f>CONCATENATE(CotProveedor!B77,"      ",CHAR(47)," ",CotProveedor!$L$2, " ",CotProveedor!L77)</f>
        <v xml:space="preserve">      / T. E. S. P. V. </v>
      </c>
      <c r="D73" s="15">
        <f>+CotProveedor!C77</f>
        <v>0</v>
      </c>
      <c r="E73" s="17">
        <f>CotProveedor!K77</f>
        <v>0</v>
      </c>
      <c r="F73" s="17">
        <f t="shared" si="1"/>
        <v>0</v>
      </c>
    </row>
    <row r="74" spans="1:6" ht="37.5" customHeight="1" x14ac:dyDescent="0.25">
      <c r="A74" s="19">
        <v>73</v>
      </c>
      <c r="B74" s="20">
        <f>+CotProveedor!A78</f>
        <v>0</v>
      </c>
      <c r="C74" s="16" t="str">
        <f>CONCATENATE(CotProveedor!B78,"      ",CHAR(47)," ",CotProveedor!$L$2, " ",CotProveedor!L78)</f>
        <v xml:space="preserve">      / T. E. S. P. V. </v>
      </c>
      <c r="D74" s="15">
        <f>+CotProveedor!C78</f>
        <v>0</v>
      </c>
      <c r="E74" s="17">
        <f>CotProveedor!K78</f>
        <v>0</v>
      </c>
      <c r="F74" s="17">
        <f t="shared" si="1"/>
        <v>0</v>
      </c>
    </row>
    <row r="75" spans="1:6" ht="37.5" customHeight="1" x14ac:dyDescent="0.25">
      <c r="A75" s="19">
        <v>74</v>
      </c>
      <c r="B75" s="20">
        <f>+CotProveedor!A79</f>
        <v>0</v>
      </c>
      <c r="C75" s="16" t="str">
        <f>CONCATENATE(CotProveedor!B79,"      ",CHAR(47)," ",CotProveedor!$L$2, " ",CotProveedor!L79)</f>
        <v xml:space="preserve">      / T. E. S. P. V. </v>
      </c>
      <c r="D75" s="15">
        <f>+CotProveedor!C79</f>
        <v>0</v>
      </c>
      <c r="E75" s="17">
        <f>CotProveedor!K79</f>
        <v>0</v>
      </c>
      <c r="F75" s="17">
        <f t="shared" si="1"/>
        <v>0</v>
      </c>
    </row>
    <row r="76" spans="1:6" ht="37.5" customHeight="1" x14ac:dyDescent="0.25">
      <c r="A76" s="19">
        <v>75</v>
      </c>
      <c r="B76" s="20">
        <f>+CotProveedor!A80</f>
        <v>0</v>
      </c>
      <c r="C76" s="16" t="str">
        <f>CONCATENATE(CotProveedor!B80,"      ",CHAR(47)," ",CotProveedor!$L$2, " ",CotProveedor!L80)</f>
        <v xml:space="preserve">      / T. E. S. P. V. </v>
      </c>
      <c r="D76" s="15">
        <f>+CotProveedor!C80</f>
        <v>0</v>
      </c>
      <c r="E76" s="17">
        <f>CotProveedor!K80</f>
        <v>0</v>
      </c>
      <c r="F76" s="17">
        <f t="shared" si="1"/>
        <v>0</v>
      </c>
    </row>
    <row r="77" spans="1:6" ht="37.5" customHeight="1" x14ac:dyDescent="0.25">
      <c r="A77" s="19">
        <v>76</v>
      </c>
      <c r="B77" s="20">
        <f>+CotProveedor!A81</f>
        <v>0</v>
      </c>
      <c r="C77" s="16" t="str">
        <f>CONCATENATE(CotProveedor!B81,"      ",CHAR(47)," ",CotProveedor!$L$2, " ",CotProveedor!L81)</f>
        <v xml:space="preserve">      / T. E. S. P. V. </v>
      </c>
      <c r="D77" s="15">
        <f>+CotProveedor!C81</f>
        <v>0</v>
      </c>
      <c r="E77" s="17">
        <f>CotProveedor!K81</f>
        <v>0</v>
      </c>
      <c r="F77" s="17">
        <f t="shared" si="1"/>
        <v>0</v>
      </c>
    </row>
    <row r="78" spans="1:6" ht="37.5" customHeight="1" x14ac:dyDescent="0.25">
      <c r="A78" s="19">
        <v>77</v>
      </c>
      <c r="B78" s="20">
        <f>+CotProveedor!A82</f>
        <v>0</v>
      </c>
      <c r="C78" s="16" t="str">
        <f>CONCATENATE(CotProveedor!B82,"      ",CHAR(47)," ",CotProveedor!$L$2, " ",CotProveedor!L82)</f>
        <v xml:space="preserve">      / T. E. S. P. V. </v>
      </c>
      <c r="D78" s="15">
        <f>+CotProveedor!C82</f>
        <v>0</v>
      </c>
      <c r="E78" s="17">
        <f>CotProveedor!K82</f>
        <v>0</v>
      </c>
      <c r="F78" s="17">
        <f t="shared" si="1"/>
        <v>0</v>
      </c>
    </row>
    <row r="79" spans="1:6" ht="37.5" customHeight="1" x14ac:dyDescent="0.25">
      <c r="A79" s="19">
        <v>78</v>
      </c>
      <c r="B79" s="20">
        <f>+CotProveedor!A83</f>
        <v>0</v>
      </c>
      <c r="C79" s="16" t="str">
        <f>CONCATENATE(CotProveedor!B83,"      ",CHAR(47)," ",CotProveedor!$L$2, " ",CotProveedor!L83)</f>
        <v xml:space="preserve">      / T. E. S. P. V. 3 Días</v>
      </c>
      <c r="D79" s="15">
        <f>+CotProveedor!C83</f>
        <v>0</v>
      </c>
      <c r="E79" s="17">
        <f>CotProveedor!K83</f>
        <v>0</v>
      </c>
      <c r="F79" s="17">
        <f t="shared" si="1"/>
        <v>0</v>
      </c>
    </row>
    <row r="80" spans="1:6" ht="37.5" customHeight="1" x14ac:dyDescent="0.25">
      <c r="A80" s="19">
        <v>79</v>
      </c>
      <c r="B80" s="20">
        <f>+CotProveedor!A84</f>
        <v>0</v>
      </c>
      <c r="C80" s="16" t="str">
        <f>CONCATENATE(CotProveedor!B84,"      ",CHAR(47)," ",CotProveedor!$L$2, " ",CotProveedor!L84)</f>
        <v xml:space="preserve">      / T. E. S. P. V. 2 Semanas</v>
      </c>
      <c r="D80" s="15">
        <f>+CotProveedor!C84</f>
        <v>0</v>
      </c>
      <c r="E80" s="17">
        <f>CotProveedor!K84</f>
        <v>0</v>
      </c>
      <c r="F80" s="17">
        <f t="shared" si="1"/>
        <v>0</v>
      </c>
    </row>
    <row r="81" spans="1:6" ht="37.5" customHeight="1" x14ac:dyDescent="0.25">
      <c r="A81" s="19">
        <v>80</v>
      </c>
      <c r="B81" s="20">
        <f>+CotProveedor!A85</f>
        <v>0</v>
      </c>
      <c r="C81" s="16" t="str">
        <f>CONCATENATE(CotProveedor!B85,"      ",CHAR(47)," ",CotProveedor!$L$2, " ",CotProveedor!L85)</f>
        <v xml:space="preserve">      / T. E. S. P. V. </v>
      </c>
      <c r="D81" s="15">
        <f>+CotProveedor!C85</f>
        <v>0</v>
      </c>
      <c r="E81" s="17">
        <f>CotProveedor!K85</f>
        <v>0</v>
      </c>
      <c r="F81" s="17">
        <f t="shared" si="1"/>
        <v>0</v>
      </c>
    </row>
    <row r="82" spans="1:6" ht="37.5" customHeight="1" x14ac:dyDescent="0.25">
      <c r="A82" s="19">
        <v>81</v>
      </c>
      <c r="B82" s="20">
        <f>+CotProveedor!A86</f>
        <v>0</v>
      </c>
      <c r="C82" s="16" t="str">
        <f>CONCATENATE(CotProveedor!B86,"      ",CHAR(47)," ",CotProveedor!$L$2, " ",CotProveedor!L86)</f>
        <v xml:space="preserve">      / T. E. S. P. V. </v>
      </c>
      <c r="D82" s="15">
        <f>+CotProveedor!C86</f>
        <v>0</v>
      </c>
      <c r="E82" s="17">
        <f>CotProveedor!K86</f>
        <v>0</v>
      </c>
      <c r="F82" s="17">
        <f t="shared" si="1"/>
        <v>0</v>
      </c>
    </row>
    <row r="83" spans="1:6" ht="37.5" customHeight="1" x14ac:dyDescent="0.25">
      <c r="A83" s="19">
        <v>82</v>
      </c>
      <c r="B83" s="20">
        <f>+CotProveedor!A87</f>
        <v>0</v>
      </c>
      <c r="C83" s="16" t="str">
        <f>CONCATENATE(CotProveedor!B87,"      ",CHAR(47)," ",CotProveedor!$L$2, " ",CotProveedor!L87)</f>
        <v xml:space="preserve">      / T. E. S. P. V. </v>
      </c>
      <c r="D83" s="15">
        <f>+CotProveedor!C87</f>
        <v>0</v>
      </c>
      <c r="E83" s="17">
        <f>CotProveedor!K87</f>
        <v>0</v>
      </c>
      <c r="F83" s="17">
        <f t="shared" si="1"/>
        <v>0</v>
      </c>
    </row>
    <row r="84" spans="1:6" ht="37.5" customHeight="1" x14ac:dyDescent="0.25">
      <c r="A84" s="19">
        <v>83</v>
      </c>
      <c r="B84" s="20">
        <f>+CotProveedor!A88</f>
        <v>0</v>
      </c>
      <c r="C84" s="16" t="str">
        <f>CONCATENATE(CotProveedor!B88,"      ",CHAR(47)," ",CotProveedor!$L$2, " ",CotProveedor!L88)</f>
        <v xml:space="preserve">      / T. E. S. P. V. </v>
      </c>
      <c r="D84" s="15">
        <f>+CotProveedor!C88</f>
        <v>0</v>
      </c>
      <c r="E84" s="17">
        <f>CotProveedor!K88</f>
        <v>0</v>
      </c>
      <c r="F84" s="17">
        <f t="shared" si="1"/>
        <v>0</v>
      </c>
    </row>
    <row r="85" spans="1:6" ht="37.5" customHeight="1" x14ac:dyDescent="0.25">
      <c r="A85" s="19">
        <v>84</v>
      </c>
      <c r="B85" s="20">
        <f>+CotProveedor!A89</f>
        <v>0</v>
      </c>
      <c r="C85" s="16" t="str">
        <f>CONCATENATE(CotProveedor!B89,"      ",CHAR(47)," ",CotProveedor!$L$2, " ",CotProveedor!L89)</f>
        <v xml:space="preserve">      / T. E. S. P. V. </v>
      </c>
      <c r="D85" s="15">
        <f>+CotProveedor!C89</f>
        <v>0</v>
      </c>
      <c r="E85" s="17">
        <f>CotProveedor!K89</f>
        <v>0</v>
      </c>
      <c r="F85" s="17">
        <f t="shared" si="1"/>
        <v>0</v>
      </c>
    </row>
    <row r="86" spans="1:6" ht="37.5" customHeight="1" x14ac:dyDescent="0.25">
      <c r="A86" s="19">
        <v>85</v>
      </c>
      <c r="B86" s="20">
        <f>+CotProveedor!A90</f>
        <v>0</v>
      </c>
      <c r="C86" s="16" t="str">
        <f>CONCATENATE(CotProveedor!B90,"      ",CHAR(47)," ",CotProveedor!$L$2, " ",CotProveedor!L90)</f>
        <v xml:space="preserve">      / T. E. S. P. V. </v>
      </c>
      <c r="D86" s="15">
        <f>+CotProveedor!C90</f>
        <v>0</v>
      </c>
      <c r="E86" s="17">
        <f>CotProveedor!K90</f>
        <v>0</v>
      </c>
      <c r="F86" s="17">
        <f t="shared" si="1"/>
        <v>0</v>
      </c>
    </row>
    <row r="87" spans="1:6" ht="37.5" customHeight="1" x14ac:dyDescent="0.25">
      <c r="A87" s="19">
        <v>86</v>
      </c>
      <c r="B87" s="20">
        <f>+CotProveedor!A91</f>
        <v>0</v>
      </c>
      <c r="C87" s="16" t="str">
        <f>CONCATENATE(CotProveedor!B91,"      ",CHAR(47)," ",CotProveedor!$L$2, " ",CotProveedor!L91)</f>
        <v xml:space="preserve">      / T. E. S. P. V. </v>
      </c>
      <c r="D87" s="15">
        <f>+CotProveedor!C91</f>
        <v>0</v>
      </c>
      <c r="E87" s="17">
        <f>CotProveedor!K91</f>
        <v>0</v>
      </c>
      <c r="F87" s="17">
        <f t="shared" si="1"/>
        <v>0</v>
      </c>
    </row>
    <row r="88" spans="1:6" ht="37.5" customHeight="1" x14ac:dyDescent="0.25">
      <c r="A88" s="19">
        <v>87</v>
      </c>
      <c r="B88" s="20">
        <f>+CotProveedor!A92</f>
        <v>0</v>
      </c>
      <c r="C88" s="16" t="str">
        <f>CONCATENATE(CotProveedor!B92,"      ",CHAR(47)," ",CotProveedor!$L$2, " ",CotProveedor!L92)</f>
        <v xml:space="preserve">      / T. E. S. P. V. </v>
      </c>
      <c r="D88" s="15">
        <f>+CotProveedor!C92</f>
        <v>0</v>
      </c>
      <c r="E88" s="17">
        <f>CotProveedor!K92</f>
        <v>0</v>
      </c>
      <c r="F88" s="17">
        <f t="shared" si="1"/>
        <v>0</v>
      </c>
    </row>
    <row r="89" spans="1:6" ht="37.5" customHeight="1" x14ac:dyDescent="0.25">
      <c r="A89" s="19">
        <v>88</v>
      </c>
      <c r="B89" s="20">
        <f>+CotProveedor!A93</f>
        <v>0</v>
      </c>
      <c r="C89" s="16" t="str">
        <f>CONCATENATE(CotProveedor!B93,"      ",CHAR(47)," ",CotProveedor!$L$2, " ",CotProveedor!L93)</f>
        <v xml:space="preserve">      / T. E. S. P. V. </v>
      </c>
      <c r="D89" s="15">
        <f>+CotProveedor!C93</f>
        <v>0</v>
      </c>
      <c r="E89" s="17">
        <f>CotProveedor!K93</f>
        <v>0</v>
      </c>
      <c r="F89" s="17">
        <f t="shared" si="1"/>
        <v>0</v>
      </c>
    </row>
    <row r="90" spans="1:6" ht="37.5" customHeight="1" x14ac:dyDescent="0.25">
      <c r="A90" s="19">
        <v>89</v>
      </c>
      <c r="B90" s="20">
        <f>+CotProveedor!A94</f>
        <v>0</v>
      </c>
      <c r="C90" s="16" t="str">
        <f>CONCATENATE(CotProveedor!B94,"      ",CHAR(47)," ",CotProveedor!$L$2, " ",CotProveedor!L94)</f>
        <v xml:space="preserve">      / T. E. S. P. V. </v>
      </c>
      <c r="D90" s="15">
        <f>+CotProveedor!C94</f>
        <v>0</v>
      </c>
      <c r="E90" s="17">
        <f>CotProveedor!K94</f>
        <v>0</v>
      </c>
      <c r="F90" s="17">
        <f t="shared" si="1"/>
        <v>0</v>
      </c>
    </row>
    <row r="91" spans="1:6" ht="37.5" customHeight="1" x14ac:dyDescent="0.25">
      <c r="A91" s="19">
        <v>90</v>
      </c>
      <c r="B91" s="20">
        <f>+CotProveedor!A95</f>
        <v>0</v>
      </c>
      <c r="C91" s="16" t="str">
        <f>CONCATENATE(CotProveedor!B95,"      ",CHAR(47)," ",CotProveedor!$L$2, " ",CotProveedor!L95)</f>
        <v xml:space="preserve">      / T. E. S. P. V. </v>
      </c>
      <c r="D91" s="15">
        <f>+CotProveedor!C95</f>
        <v>0</v>
      </c>
      <c r="E91" s="17">
        <f>CotProveedor!K95</f>
        <v>0</v>
      </c>
      <c r="F91" s="17">
        <f t="shared" si="1"/>
        <v>0</v>
      </c>
    </row>
    <row r="92" spans="1:6" ht="37.5" customHeight="1" x14ac:dyDescent="0.25">
      <c r="A92" s="19">
        <v>91</v>
      </c>
      <c r="B92" s="20">
        <f>+CotProveedor!A96</f>
        <v>0</v>
      </c>
      <c r="C92" s="16" t="str">
        <f>CONCATENATE(CotProveedor!B96,"      ",CHAR(47)," ",CotProveedor!$L$2, " ",CotProveedor!L96)</f>
        <v xml:space="preserve">      / T. E. S. P. V. </v>
      </c>
      <c r="D92" s="15">
        <f>+CotProveedor!C96</f>
        <v>0</v>
      </c>
      <c r="E92" s="17">
        <f>CotProveedor!K96</f>
        <v>0</v>
      </c>
      <c r="F92" s="17">
        <f t="shared" si="1"/>
        <v>0</v>
      </c>
    </row>
    <row r="93" spans="1:6" ht="37.5" customHeight="1" x14ac:dyDescent="0.25">
      <c r="A93" s="19">
        <v>92</v>
      </c>
      <c r="B93" s="20">
        <f>+CotProveedor!A97</f>
        <v>0</v>
      </c>
      <c r="C93" s="16" t="str">
        <f>CONCATENATE(CotProveedor!B97,"      ",CHAR(47)," ",CotProveedor!$L$2, " ",CotProveedor!L97)</f>
        <v xml:space="preserve">      / T. E. S. P. V. </v>
      </c>
      <c r="D93" s="15">
        <f>+CotProveedor!C97</f>
        <v>0</v>
      </c>
      <c r="E93" s="17">
        <f>CotProveedor!K97</f>
        <v>0</v>
      </c>
      <c r="F93" s="17">
        <f t="shared" si="1"/>
        <v>0</v>
      </c>
    </row>
    <row r="94" spans="1:6" ht="37.5" customHeight="1" x14ac:dyDescent="0.25">
      <c r="A94" s="19">
        <v>93</v>
      </c>
      <c r="B94" s="20">
        <f>+CotProveedor!A98</f>
        <v>0</v>
      </c>
      <c r="C94" s="16" t="str">
        <f>CONCATENATE(CotProveedor!B98,"      ",CHAR(47)," ",CotProveedor!$L$2, " ",CotProveedor!L98)</f>
        <v xml:space="preserve">      / T. E. S. P. V. </v>
      </c>
      <c r="D94" s="15">
        <f>+CotProveedor!C98</f>
        <v>0</v>
      </c>
      <c r="E94" s="17">
        <f>CotProveedor!K98</f>
        <v>0</v>
      </c>
      <c r="F94" s="17">
        <f t="shared" si="1"/>
        <v>0</v>
      </c>
    </row>
    <row r="95" spans="1:6" ht="37.5" customHeight="1" x14ac:dyDescent="0.25">
      <c r="A95" s="19">
        <v>94</v>
      </c>
      <c r="B95" s="20">
        <f>+CotProveedor!A99</f>
        <v>0</v>
      </c>
      <c r="C95" s="16" t="str">
        <f>CONCATENATE(CotProveedor!B99,"      ",CHAR(47)," ",CotProveedor!$L$2, " ",CotProveedor!L99)</f>
        <v xml:space="preserve">      / T. E. S. P. V. </v>
      </c>
      <c r="D95" s="15">
        <f>+CotProveedor!C99</f>
        <v>0</v>
      </c>
      <c r="E95" s="17">
        <f>CotProveedor!K99</f>
        <v>0</v>
      </c>
      <c r="F95" s="17">
        <f t="shared" si="1"/>
        <v>0</v>
      </c>
    </row>
    <row r="96" spans="1:6" ht="37.5" customHeight="1" x14ac:dyDescent="0.25">
      <c r="A96" s="19">
        <v>95</v>
      </c>
      <c r="B96" s="20">
        <f>+CotProveedor!A100</f>
        <v>0</v>
      </c>
      <c r="C96" s="16" t="str">
        <f>CONCATENATE(CotProveedor!B100,"      ",CHAR(47)," ",CotProveedor!$L$2, " ",CotProveedor!L100)</f>
        <v xml:space="preserve">      / T. E. S. P. V. </v>
      </c>
      <c r="D96" s="15">
        <f>+CotProveedor!C100</f>
        <v>0</v>
      </c>
      <c r="E96" s="17">
        <f>CotProveedor!K100</f>
        <v>0</v>
      </c>
      <c r="F96" s="17">
        <f t="shared" si="1"/>
        <v>0</v>
      </c>
    </row>
    <row r="97" spans="1:6" ht="37.5" customHeight="1" x14ac:dyDescent="0.25">
      <c r="A97" s="19">
        <v>96</v>
      </c>
      <c r="B97" s="20">
        <f>+CotProveedor!A101</f>
        <v>0</v>
      </c>
      <c r="C97" s="16" t="str">
        <f>CONCATENATE(CotProveedor!B101,"      ",CHAR(47)," ",CotProveedor!$L$2, " ",CotProveedor!L101)</f>
        <v xml:space="preserve">      / T. E. S. P. V. </v>
      </c>
      <c r="D97" s="15">
        <f>+CotProveedor!C101</f>
        <v>0</v>
      </c>
      <c r="E97" s="17">
        <f>CotProveedor!K101</f>
        <v>0</v>
      </c>
      <c r="F97" s="17">
        <f t="shared" si="1"/>
        <v>0</v>
      </c>
    </row>
    <row r="98" spans="1:6" ht="37.5" customHeight="1" x14ac:dyDescent="0.25">
      <c r="A98" s="19">
        <v>97</v>
      </c>
      <c r="B98" s="20">
        <f>+CotProveedor!A102</f>
        <v>0</v>
      </c>
      <c r="C98" s="16" t="str">
        <f>CONCATENATE(CotProveedor!B102,"      ",CHAR(47)," ",CotProveedor!$L$2, " ",CotProveedor!L102)</f>
        <v xml:space="preserve">      / T. E. S. P. V. </v>
      </c>
      <c r="D98" s="15">
        <f>+CotProveedor!C102</f>
        <v>0</v>
      </c>
      <c r="E98" s="17">
        <f>CotProveedor!K102</f>
        <v>0</v>
      </c>
      <c r="F98" s="17">
        <f t="shared" si="1"/>
        <v>0</v>
      </c>
    </row>
    <row r="99" spans="1:6" ht="37.5" customHeight="1" x14ac:dyDescent="0.25">
      <c r="A99" s="19">
        <v>98</v>
      </c>
      <c r="B99" s="20">
        <f>+CotProveedor!A103</f>
        <v>0</v>
      </c>
      <c r="C99" s="16" t="str">
        <f>CONCATENATE(CotProveedor!B103,"      ",CHAR(47)," ",CotProveedor!$L$2, " ",CotProveedor!L103)</f>
        <v xml:space="preserve">      / T. E. S. P. V. </v>
      </c>
      <c r="D99" s="15">
        <f>+CotProveedor!C103</f>
        <v>0</v>
      </c>
      <c r="E99" s="17">
        <f>CotProveedor!K103</f>
        <v>0</v>
      </c>
      <c r="F99" s="17">
        <f t="shared" si="1"/>
        <v>0</v>
      </c>
    </row>
    <row r="100" spans="1:6" ht="37.5" customHeight="1" x14ac:dyDescent="0.25">
      <c r="A100" s="19">
        <v>99</v>
      </c>
      <c r="B100" s="20">
        <f>+CotProveedor!A104</f>
        <v>0</v>
      </c>
      <c r="C100" s="16" t="str">
        <f>CONCATENATE(CotProveedor!B104,"      ",CHAR(47)," ",CotProveedor!$L$2, " ",CotProveedor!L104)</f>
        <v xml:space="preserve">      / T. E. S. P. V. </v>
      </c>
      <c r="D100" s="15">
        <f>+CotProveedor!C104</f>
        <v>0</v>
      </c>
      <c r="E100" s="17">
        <f>CotProveedor!K104</f>
        <v>0</v>
      </c>
      <c r="F100" s="17">
        <f t="shared" si="1"/>
        <v>0</v>
      </c>
    </row>
    <row r="101" spans="1:6" ht="37.5" customHeight="1" x14ac:dyDescent="0.25">
      <c r="A101" s="19">
        <v>100</v>
      </c>
      <c r="B101" s="20">
        <f>+CotProveedor!A105</f>
        <v>0</v>
      </c>
      <c r="C101" s="16" t="str">
        <f>CONCATENATE(CotProveedor!B105,"      ",CHAR(47)," ",CotProveedor!$L$2, " ",CotProveedor!L105)</f>
        <v xml:space="preserve">      / T. E. S. P. V. </v>
      </c>
      <c r="D101" s="15">
        <f>+CotProveedor!C105</f>
        <v>0</v>
      </c>
      <c r="E101" s="17">
        <f>CotProveedor!K105</f>
        <v>0</v>
      </c>
      <c r="F101" s="17">
        <f t="shared" si="1"/>
        <v>0</v>
      </c>
    </row>
    <row r="102" spans="1:6" ht="37.5" customHeight="1" x14ac:dyDescent="0.25">
      <c r="A102" s="19">
        <v>101</v>
      </c>
      <c r="B102" s="20">
        <f>+CotProveedor!A106</f>
        <v>0</v>
      </c>
      <c r="C102" s="16" t="str">
        <f>CONCATENATE(CotProveedor!B106,"      ",CHAR(47)," ",CotProveedor!$L$2, " ",CotProveedor!L106)</f>
        <v xml:space="preserve">      / T. E. S. P. V. </v>
      </c>
      <c r="D102" s="15">
        <f>+CotProveedor!C106</f>
        <v>0</v>
      </c>
      <c r="E102" s="17">
        <f>CotProveedor!K106</f>
        <v>0</v>
      </c>
      <c r="F102" s="17">
        <f t="shared" si="1"/>
        <v>0</v>
      </c>
    </row>
    <row r="103" spans="1:6" x14ac:dyDescent="0.25">
      <c r="A103" s="19">
        <v>102</v>
      </c>
      <c r="B103" s="20">
        <f>+CotProveedor!A107</f>
        <v>0</v>
      </c>
      <c r="C103" s="16" t="str">
        <f>CONCATENATE(CotProveedor!B107,"      ",CHAR(47)," ",CotProveedor!$L$2, " ",CotProveedor!L107)</f>
        <v xml:space="preserve">      / T. E. S. P. V. </v>
      </c>
      <c r="D103" s="15">
        <f>+CotProveedor!C107</f>
        <v>0</v>
      </c>
      <c r="E103" s="17">
        <f>CotProveedor!K107</f>
        <v>0</v>
      </c>
      <c r="F103" s="17">
        <f t="shared" si="1"/>
        <v>0</v>
      </c>
    </row>
    <row r="104" spans="1:6" x14ac:dyDescent="0.25">
      <c r="A104" s="19">
        <v>103</v>
      </c>
      <c r="B104" s="20">
        <f>+CotProveedor!A108</f>
        <v>0</v>
      </c>
      <c r="C104" s="16" t="str">
        <f>CONCATENATE(CotProveedor!B108,"      ",CHAR(47)," ",CotProveedor!$L$2, " ",CotProveedor!L108)</f>
        <v xml:space="preserve">      / T. E. S. P. V. </v>
      </c>
      <c r="D104" s="15">
        <f>+CotProveedor!C108</f>
        <v>0</v>
      </c>
      <c r="E104" s="17">
        <f>CotProveedor!K108</f>
        <v>0</v>
      </c>
      <c r="F104" s="17">
        <f t="shared" si="1"/>
        <v>0</v>
      </c>
    </row>
    <row r="105" spans="1:6" x14ac:dyDescent="0.25">
      <c r="A105" s="19">
        <v>104</v>
      </c>
      <c r="B105" s="20">
        <f>+CotProveedor!A109</f>
        <v>0</v>
      </c>
      <c r="C105" s="16" t="str">
        <f>CONCATENATE(CotProveedor!B109,"      ",CHAR(47)," ",CotProveedor!$L$2, " ",CotProveedor!L109)</f>
        <v xml:space="preserve">      / T. E. S. P. V. </v>
      </c>
      <c r="D105" s="15">
        <f>+CotProveedor!C109</f>
        <v>0</v>
      </c>
      <c r="E105" s="17">
        <f>CotProveedor!K109</f>
        <v>0</v>
      </c>
      <c r="F105" s="17">
        <f t="shared" si="1"/>
        <v>0</v>
      </c>
    </row>
    <row r="106" spans="1:6" x14ac:dyDescent="0.25">
      <c r="A106" s="19">
        <v>105</v>
      </c>
      <c r="B106" s="20">
        <f>+CotProveedor!A110</f>
        <v>0</v>
      </c>
      <c r="C106" s="16" t="str">
        <f>CONCATENATE(CotProveedor!B110,"      ",CHAR(47)," ",CotProveedor!$L$2, " ",CotProveedor!L110)</f>
        <v xml:space="preserve">      / T. E. S. P. V. </v>
      </c>
      <c r="D106" s="15">
        <f>+CotProveedor!C110</f>
        <v>0</v>
      </c>
      <c r="E106" s="17">
        <f>CotProveedor!K110</f>
        <v>0</v>
      </c>
      <c r="F106" s="17">
        <f t="shared" si="1"/>
        <v>0</v>
      </c>
    </row>
    <row r="107" spans="1:6" x14ac:dyDescent="0.25">
      <c r="A107" s="19">
        <v>106</v>
      </c>
      <c r="B107" s="20">
        <f>+CotProveedor!A111</f>
        <v>0</v>
      </c>
      <c r="C107" s="16" t="str">
        <f>CONCATENATE(CotProveedor!B111,"      ",CHAR(47)," ",CotProveedor!$L$2, " ",CotProveedor!L111)</f>
        <v xml:space="preserve">      / T. E. S. P. V. </v>
      </c>
      <c r="D107" s="15">
        <f>+CotProveedor!C111</f>
        <v>0</v>
      </c>
      <c r="E107" s="17">
        <f>CotProveedor!K111</f>
        <v>0</v>
      </c>
      <c r="F107" s="17">
        <f t="shared" si="1"/>
        <v>0</v>
      </c>
    </row>
    <row r="108" spans="1:6" x14ac:dyDescent="0.25">
      <c r="A108" s="19">
        <v>107</v>
      </c>
      <c r="B108" s="20">
        <f>+CotProveedor!A112</f>
        <v>0</v>
      </c>
      <c r="C108" s="16" t="str">
        <f>CONCATENATE(CotProveedor!B112,"      ",CHAR(47)," ",CotProveedor!$L$2, " ",CotProveedor!L112)</f>
        <v xml:space="preserve">      / T. E. S. P. V. </v>
      </c>
      <c r="D108" s="15">
        <f>+CotProveedor!C112</f>
        <v>0</v>
      </c>
      <c r="E108" s="17">
        <f>CotProveedor!K112</f>
        <v>0</v>
      </c>
      <c r="F108" s="17">
        <f t="shared" si="1"/>
        <v>0</v>
      </c>
    </row>
    <row r="109" spans="1:6" x14ac:dyDescent="0.25">
      <c r="A109" s="19">
        <v>108</v>
      </c>
      <c r="B109" s="20">
        <f>+CotProveedor!A113</f>
        <v>0</v>
      </c>
      <c r="C109" s="16" t="str">
        <f>CONCATENATE(CotProveedor!B113,"      ",CHAR(47)," ",CotProveedor!$L$2, " ",CotProveedor!L113)</f>
        <v xml:space="preserve">      / T. E. S. P. V. </v>
      </c>
      <c r="D109" s="15">
        <f>+CotProveedor!C113</f>
        <v>0</v>
      </c>
      <c r="E109" s="17">
        <f>CotProveedor!K113</f>
        <v>0</v>
      </c>
      <c r="F109" s="17">
        <f t="shared" si="1"/>
        <v>0</v>
      </c>
    </row>
    <row r="110" spans="1:6" x14ac:dyDescent="0.25">
      <c r="A110" s="19">
        <v>109</v>
      </c>
      <c r="B110" s="20">
        <f>+CotProveedor!A114</f>
        <v>0</v>
      </c>
      <c r="C110" s="16" t="str">
        <f>CONCATENATE(CotProveedor!B114,"      ",CHAR(47)," ",CotProveedor!$L$2, " ",CotProveedor!L114)</f>
        <v xml:space="preserve">      / T. E. S. P. V. </v>
      </c>
      <c r="D110" s="15">
        <f>+CotProveedor!C114</f>
        <v>0</v>
      </c>
      <c r="E110" s="17">
        <f>CotProveedor!K114</f>
        <v>0</v>
      </c>
      <c r="F110" s="17">
        <f t="shared" si="1"/>
        <v>0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C3D3D-B20A-4FE4-9F78-C7B1A9049E1B}">
  <sheetPr codeName="Sheet3"/>
  <dimension ref="A1:G111"/>
  <sheetViews>
    <sheetView workbookViewId="0">
      <selection sqref="A1:F2"/>
    </sheetView>
  </sheetViews>
  <sheetFormatPr baseColWidth="10" defaultColWidth="9.140625" defaultRowHeight="15" x14ac:dyDescent="0.25"/>
  <cols>
    <col min="1" max="1" width="4.5703125" style="8" customWidth="1"/>
    <col min="2" max="2" width="18.140625" style="8" customWidth="1"/>
    <col min="3" max="3" width="63.5703125" style="1" customWidth="1"/>
    <col min="4" max="4" width="4.42578125" style="3" customWidth="1"/>
    <col min="5" max="5" width="14" style="4" customWidth="1"/>
    <col min="6" max="6" width="14" customWidth="1"/>
    <col min="7" max="7" width="10.5703125" bestFit="1" customWidth="1"/>
  </cols>
  <sheetData>
    <row r="1" spans="1:7" s="8" customFormat="1" ht="34.5" customHeight="1" x14ac:dyDescent="0.25">
      <c r="A1" s="14" t="s">
        <v>8</v>
      </c>
      <c r="B1" s="11" t="s">
        <v>0</v>
      </c>
      <c r="C1" s="12" t="s">
        <v>1</v>
      </c>
      <c r="D1" s="11" t="s">
        <v>2</v>
      </c>
      <c r="E1" s="12" t="s">
        <v>7</v>
      </c>
      <c r="F1" s="12" t="s">
        <v>3</v>
      </c>
    </row>
    <row r="2" spans="1:7" ht="31.5" customHeight="1" x14ac:dyDescent="0.25">
      <c r="A2" s="13">
        <v>1</v>
      </c>
      <c r="B2" s="21" t="str">
        <f>+CotProveedor!A6</f>
        <v>440N-G02045</v>
      </c>
      <c r="C2" s="5" t="str">
        <f>CotProveedor!B6</f>
        <v>INTERRUPTOR DE SEGURIDAD ACTUADO MAGNETICO 110 VCA</v>
      </c>
      <c r="D2" s="6">
        <f>+CotProveedor!C6</f>
        <v>6</v>
      </c>
      <c r="E2" s="7"/>
      <c r="F2" s="7"/>
    </row>
    <row r="3" spans="1:7" ht="31.5" customHeight="1" x14ac:dyDescent="0.25">
      <c r="A3" s="13">
        <v>2</v>
      </c>
      <c r="B3" s="21" t="str">
        <f>+CotProveedor!A7</f>
        <v>LC1D09R7</v>
      </c>
      <c r="C3" s="5" t="str">
        <f>CotProveedor!B7</f>
        <v>CONTACTOR 440V 9A</v>
      </c>
      <c r="D3" s="6">
        <f>+CotProveedor!C7</f>
        <v>10</v>
      </c>
      <c r="E3" s="7">
        <f>+CotProveedor!I7</f>
        <v>500.34</v>
      </c>
      <c r="F3" s="7">
        <f t="shared" ref="F3:F66" si="0">D3*E3</f>
        <v>5003.3999999999996</v>
      </c>
    </row>
    <row r="4" spans="1:7" ht="31.5" customHeight="1" x14ac:dyDescent="0.25">
      <c r="A4" s="13">
        <v>3</v>
      </c>
      <c r="B4" s="21" t="str">
        <f>+CotProveedor!A8</f>
        <v>CT6S-2P4</v>
      </c>
      <c r="C4" s="5" t="str">
        <f>CotProveedor!B8</f>
        <v>COUNTER / TIMER 100-240 VAC</v>
      </c>
      <c r="D4" s="6">
        <f>+CotProveedor!C8</f>
        <v>6</v>
      </c>
      <c r="E4" s="7">
        <f>+CotProveedor!I8</f>
        <v>1851.92</v>
      </c>
      <c r="F4" s="7">
        <f t="shared" si="0"/>
        <v>11111.52</v>
      </c>
    </row>
    <row r="5" spans="1:7" ht="31.5" customHeight="1" x14ac:dyDescent="0.25">
      <c r="A5" s="13">
        <v>4</v>
      </c>
      <c r="B5" s="21" t="str">
        <f>+CotProveedor!A9</f>
        <v>SFNB 8TX</v>
      </c>
      <c r="C5" s="5" t="str">
        <f>CotProveedor!B9</f>
        <v>SWITCH PARA TABLERO FL SWITCH SFNB 8TX !</v>
      </c>
      <c r="D5" s="6">
        <f>+CotProveedor!C9</f>
        <v>2</v>
      </c>
      <c r="E5" s="7">
        <f>+CotProveedor!I9</f>
        <v>2417.59</v>
      </c>
      <c r="F5" s="7">
        <f t="shared" si="0"/>
        <v>4835.18</v>
      </c>
    </row>
    <row r="6" spans="1:7" ht="35.25" customHeight="1" x14ac:dyDescent="0.25">
      <c r="A6" s="13">
        <v>5</v>
      </c>
      <c r="B6" s="21" t="str">
        <f>+CotProveedor!A10</f>
        <v xml:space="preserve"> 150-C85NBD</v>
      </c>
      <c r="C6" s="5" t="str">
        <f>CotProveedor!B10</f>
        <v>ARRANCADOR SUAVE 85A 480V 3PH 150-C85NBD</v>
      </c>
      <c r="D6" s="6">
        <f>+CotProveedor!C10</f>
        <v>2</v>
      </c>
      <c r="E6" s="7">
        <f>+CotProveedor!I10</f>
        <v>40613.663232000006</v>
      </c>
      <c r="F6" s="7">
        <f t="shared" si="0"/>
        <v>81227.326464000012</v>
      </c>
    </row>
    <row r="7" spans="1:7" ht="29.25" customHeight="1" x14ac:dyDescent="0.25">
      <c r="A7" s="13">
        <v>6</v>
      </c>
      <c r="B7" s="21" t="str">
        <f>+CotProveedor!A11</f>
        <v>3RP2505-1BT20</v>
      </c>
      <c r="C7" s="5" t="str">
        <f>CotProveedor!B11</f>
        <v>TIMER 3RP2505-1BT20</v>
      </c>
      <c r="D7" s="6" t="e">
        <f>+CotProveedor!#REF!</f>
        <v>#REF!</v>
      </c>
      <c r="E7" s="7">
        <f>+CotProveedor!I11</f>
        <v>2713.73</v>
      </c>
      <c r="F7" s="7" t="e">
        <f t="shared" si="0"/>
        <v>#REF!</v>
      </c>
    </row>
    <row r="8" spans="1:7" ht="29.25" customHeight="1" x14ac:dyDescent="0.25">
      <c r="A8" s="13">
        <v>7</v>
      </c>
      <c r="B8" s="21" t="str">
        <f>+CotProveedor!A12</f>
        <v>3RU2116-4BJ0</v>
      </c>
      <c r="C8" s="5" t="str">
        <f>CotProveedor!B12</f>
        <v>RELEVADOR DE SOBR. 3RU2116-4BJ0 7-10A</v>
      </c>
      <c r="D8" s="6">
        <f>+CotProveedor!C11</f>
        <v>4</v>
      </c>
      <c r="E8" s="7">
        <f>+CotProveedor!I12</f>
        <v>846.67</v>
      </c>
      <c r="F8" s="7">
        <f t="shared" si="0"/>
        <v>3386.68</v>
      </c>
      <c r="G8" s="2"/>
    </row>
    <row r="9" spans="1:7" ht="29.25" customHeight="1" x14ac:dyDescent="0.25">
      <c r="A9" s="13">
        <v>8</v>
      </c>
      <c r="B9" s="21">
        <f>+CotProveedor!A13</f>
        <v>0</v>
      </c>
      <c r="C9" s="5">
        <f>CotProveedor!B13</f>
        <v>0</v>
      </c>
      <c r="D9" s="6">
        <f>+CotProveedor!C13</f>
        <v>0</v>
      </c>
      <c r="E9" s="7">
        <f>+CotProveedor!I13</f>
        <v>0</v>
      </c>
      <c r="F9" s="7">
        <f t="shared" si="0"/>
        <v>0</v>
      </c>
    </row>
    <row r="10" spans="1:7" ht="39.75" customHeight="1" x14ac:dyDescent="0.25">
      <c r="A10" s="13">
        <v>9</v>
      </c>
      <c r="B10" s="21">
        <f>+CotProveedor!A14</f>
        <v>0</v>
      </c>
      <c r="C10" s="5">
        <f>CotProveedor!B14</f>
        <v>0</v>
      </c>
      <c r="D10" s="6">
        <f>+CotProveedor!C14</f>
        <v>0</v>
      </c>
      <c r="E10" s="7">
        <f>+CotProveedor!I14</f>
        <v>0</v>
      </c>
      <c r="F10" s="7">
        <f t="shared" si="0"/>
        <v>0</v>
      </c>
    </row>
    <row r="11" spans="1:7" ht="52.5" customHeight="1" x14ac:dyDescent="0.25">
      <c r="A11" s="13">
        <v>10</v>
      </c>
      <c r="B11" s="21">
        <f>+CotProveedor!A15</f>
        <v>0</v>
      </c>
      <c r="C11" s="5">
        <f>CotProveedor!B15</f>
        <v>0</v>
      </c>
      <c r="D11" s="6">
        <f>+CotProveedor!C15</f>
        <v>0</v>
      </c>
      <c r="E11" s="7">
        <f>+CotProveedor!I15</f>
        <v>0</v>
      </c>
      <c r="F11" s="7">
        <f t="shared" si="0"/>
        <v>0</v>
      </c>
    </row>
    <row r="12" spans="1:7" ht="28.5" customHeight="1" x14ac:dyDescent="0.25">
      <c r="A12" s="13">
        <v>11</v>
      </c>
      <c r="B12" s="21">
        <f>+CotProveedor!A16</f>
        <v>0</v>
      </c>
      <c r="C12" s="5">
        <f>CotProveedor!B16</f>
        <v>0</v>
      </c>
      <c r="D12" s="6">
        <f>+CotProveedor!C16</f>
        <v>0</v>
      </c>
      <c r="E12" s="7">
        <f>+CotProveedor!I16</f>
        <v>0</v>
      </c>
      <c r="F12" s="7">
        <f t="shared" si="0"/>
        <v>0</v>
      </c>
    </row>
    <row r="13" spans="1:7" ht="34.5" customHeight="1" x14ac:dyDescent="0.25">
      <c r="A13" s="13">
        <v>12</v>
      </c>
      <c r="B13" s="21">
        <f>+CotProveedor!A17</f>
        <v>0</v>
      </c>
      <c r="C13" s="5">
        <f>CotProveedor!B17</f>
        <v>0</v>
      </c>
      <c r="D13" s="6">
        <f>+CotProveedor!C17</f>
        <v>0</v>
      </c>
      <c r="E13" s="7">
        <f>+CotProveedor!I17</f>
        <v>0</v>
      </c>
      <c r="F13" s="7">
        <f t="shared" si="0"/>
        <v>0</v>
      </c>
    </row>
    <row r="14" spans="1:7" ht="24.75" customHeight="1" x14ac:dyDescent="0.25">
      <c r="A14" s="13">
        <v>13</v>
      </c>
      <c r="B14" s="21">
        <f>+CotProveedor!A18</f>
        <v>0</v>
      </c>
      <c r="C14" s="5">
        <f>CotProveedor!B18</f>
        <v>0</v>
      </c>
      <c r="D14" s="6">
        <f>+CotProveedor!C18</f>
        <v>0</v>
      </c>
      <c r="E14" s="7">
        <f>+CotProveedor!I18</f>
        <v>0</v>
      </c>
      <c r="F14" s="7">
        <f t="shared" si="0"/>
        <v>0</v>
      </c>
    </row>
    <row r="15" spans="1:7" ht="51.75" customHeight="1" x14ac:dyDescent="0.25">
      <c r="A15" s="13">
        <v>14</v>
      </c>
      <c r="B15" s="21">
        <f>+CotProveedor!A19</f>
        <v>0</v>
      </c>
      <c r="C15" s="5">
        <f>CotProveedor!B19</f>
        <v>0</v>
      </c>
      <c r="D15" s="6">
        <f>+CotProveedor!C19</f>
        <v>0</v>
      </c>
      <c r="E15" s="7">
        <f>+CotProveedor!I19</f>
        <v>0</v>
      </c>
      <c r="F15" s="7">
        <f t="shared" si="0"/>
        <v>0</v>
      </c>
    </row>
    <row r="16" spans="1:7" ht="30" customHeight="1" x14ac:dyDescent="0.25">
      <c r="A16" s="13">
        <v>15</v>
      </c>
      <c r="B16" s="21">
        <f>+CotProveedor!A20</f>
        <v>0</v>
      </c>
      <c r="C16" s="5">
        <f>CotProveedor!B20</f>
        <v>0</v>
      </c>
      <c r="D16" s="6">
        <f>+CotProveedor!C20</f>
        <v>0</v>
      </c>
      <c r="E16" s="7">
        <f>+CotProveedor!I20</f>
        <v>0</v>
      </c>
      <c r="F16" s="7">
        <f t="shared" si="0"/>
        <v>0</v>
      </c>
    </row>
    <row r="17" spans="1:6" ht="38.25" customHeight="1" x14ac:dyDescent="0.25">
      <c r="A17" s="13">
        <v>16</v>
      </c>
      <c r="B17" s="21">
        <f>+CotProveedor!A21</f>
        <v>0</v>
      </c>
      <c r="C17" s="5">
        <f>CotProveedor!B21</f>
        <v>0</v>
      </c>
      <c r="D17" s="6">
        <f>+CotProveedor!C21</f>
        <v>0</v>
      </c>
      <c r="E17" s="7">
        <f>+CotProveedor!I21</f>
        <v>0</v>
      </c>
      <c r="F17" s="7">
        <f t="shared" si="0"/>
        <v>0</v>
      </c>
    </row>
    <row r="18" spans="1:6" ht="39" customHeight="1" x14ac:dyDescent="0.25">
      <c r="A18" s="13">
        <v>17</v>
      </c>
      <c r="B18" s="21">
        <f>+CotProveedor!A22</f>
        <v>0</v>
      </c>
      <c r="C18" s="5">
        <f>CotProveedor!B22</f>
        <v>0</v>
      </c>
      <c r="D18" s="6">
        <f>+CotProveedor!C22</f>
        <v>0</v>
      </c>
      <c r="E18" s="7">
        <f>+CotProveedor!I22</f>
        <v>0</v>
      </c>
      <c r="F18" s="7">
        <f t="shared" si="0"/>
        <v>0</v>
      </c>
    </row>
    <row r="19" spans="1:6" ht="35.25" customHeight="1" x14ac:dyDescent="0.25">
      <c r="A19" s="13">
        <v>18</v>
      </c>
      <c r="B19" s="21">
        <f>+CotProveedor!A23</f>
        <v>0</v>
      </c>
      <c r="C19" s="5">
        <f>CotProveedor!B23</f>
        <v>0</v>
      </c>
      <c r="D19" s="6">
        <f>+CotProveedor!C23</f>
        <v>0</v>
      </c>
      <c r="E19" s="7">
        <f>+CotProveedor!I23</f>
        <v>0</v>
      </c>
      <c r="F19" s="7">
        <f t="shared" si="0"/>
        <v>0</v>
      </c>
    </row>
    <row r="20" spans="1:6" ht="39.75" customHeight="1" x14ac:dyDescent="0.25">
      <c r="A20" s="13">
        <v>19</v>
      </c>
      <c r="B20" s="21">
        <f>+CotProveedor!A24</f>
        <v>0</v>
      </c>
      <c r="C20" s="5">
        <f>CotProveedor!B24</f>
        <v>0</v>
      </c>
      <c r="D20" s="6">
        <f>+CotProveedor!C24</f>
        <v>0</v>
      </c>
      <c r="E20" s="7">
        <f>+CotProveedor!I24</f>
        <v>0</v>
      </c>
      <c r="F20" s="7">
        <f t="shared" si="0"/>
        <v>0</v>
      </c>
    </row>
    <row r="21" spans="1:6" ht="42.75" customHeight="1" x14ac:dyDescent="0.25">
      <c r="A21" s="13">
        <v>20</v>
      </c>
      <c r="B21" s="21">
        <f>+CotProveedor!A25</f>
        <v>0</v>
      </c>
      <c r="C21" s="5">
        <f>CotProveedor!B25</f>
        <v>0</v>
      </c>
      <c r="D21" s="6">
        <f>+CotProveedor!C25</f>
        <v>0</v>
      </c>
      <c r="E21" s="7">
        <f>+CotProveedor!I25</f>
        <v>0</v>
      </c>
      <c r="F21" s="7">
        <f t="shared" si="0"/>
        <v>0</v>
      </c>
    </row>
    <row r="22" spans="1:6" ht="48" customHeight="1" x14ac:dyDescent="0.25">
      <c r="A22" s="13">
        <v>21</v>
      </c>
      <c r="B22" s="21">
        <f>+CotProveedor!A26</f>
        <v>0</v>
      </c>
      <c r="C22" s="5">
        <f>CotProveedor!B26</f>
        <v>0</v>
      </c>
      <c r="D22" s="6">
        <f>+CotProveedor!C26</f>
        <v>0</v>
      </c>
      <c r="E22" s="7">
        <f>+CotProveedor!I26</f>
        <v>0</v>
      </c>
      <c r="F22" s="7">
        <f t="shared" si="0"/>
        <v>0</v>
      </c>
    </row>
    <row r="23" spans="1:6" ht="50.25" customHeight="1" x14ac:dyDescent="0.25">
      <c r="A23" s="13">
        <v>22</v>
      </c>
      <c r="B23" s="21">
        <f>+CotProveedor!A27</f>
        <v>0</v>
      </c>
      <c r="C23" s="5">
        <f>CotProveedor!B27</f>
        <v>0</v>
      </c>
      <c r="D23" s="6">
        <f>+CotProveedor!C27</f>
        <v>0</v>
      </c>
      <c r="E23" s="7">
        <f>+CotProveedor!I27</f>
        <v>0</v>
      </c>
      <c r="F23" s="7">
        <f t="shared" si="0"/>
        <v>0</v>
      </c>
    </row>
    <row r="24" spans="1:6" ht="39" customHeight="1" x14ac:dyDescent="0.25">
      <c r="A24" s="13">
        <v>23</v>
      </c>
      <c r="B24" s="21">
        <f>+CotProveedor!A28</f>
        <v>0</v>
      </c>
      <c r="C24" s="5">
        <f>CotProveedor!B28</f>
        <v>0</v>
      </c>
      <c r="D24" s="6">
        <f>+CotProveedor!C28</f>
        <v>0</v>
      </c>
      <c r="E24" s="7">
        <f>+CotProveedor!I28</f>
        <v>0</v>
      </c>
      <c r="F24" s="7">
        <f t="shared" si="0"/>
        <v>0</v>
      </c>
    </row>
    <row r="25" spans="1:6" ht="44.25" customHeight="1" x14ac:dyDescent="0.25">
      <c r="A25" s="13">
        <v>24</v>
      </c>
      <c r="B25" s="21">
        <f>+CotProveedor!A29</f>
        <v>0</v>
      </c>
      <c r="C25" s="5">
        <f>CotProveedor!B29</f>
        <v>0</v>
      </c>
      <c r="D25" s="6">
        <f>+CotProveedor!C29</f>
        <v>0</v>
      </c>
      <c r="E25" s="7">
        <f>+CotProveedor!I29</f>
        <v>0</v>
      </c>
      <c r="F25" s="7">
        <f t="shared" si="0"/>
        <v>0</v>
      </c>
    </row>
    <row r="26" spans="1:6" ht="44.25" customHeight="1" x14ac:dyDescent="0.25">
      <c r="A26" s="13">
        <v>25</v>
      </c>
      <c r="B26" s="21">
        <f>+CotProveedor!A30</f>
        <v>0</v>
      </c>
      <c r="C26" s="5">
        <f>CotProveedor!B30</f>
        <v>0</v>
      </c>
      <c r="D26" s="6">
        <f>+CotProveedor!C30</f>
        <v>0</v>
      </c>
      <c r="E26" s="7">
        <f>+CotProveedor!I30</f>
        <v>0</v>
      </c>
      <c r="F26" s="7">
        <f t="shared" si="0"/>
        <v>0</v>
      </c>
    </row>
    <row r="27" spans="1:6" ht="40.5" customHeight="1" x14ac:dyDescent="0.25">
      <c r="A27" s="13">
        <v>26</v>
      </c>
      <c r="B27" s="21">
        <f>+CotProveedor!A31</f>
        <v>0</v>
      </c>
      <c r="C27" s="5">
        <f>CotProveedor!B31</f>
        <v>0</v>
      </c>
      <c r="D27" s="6">
        <f>+CotProveedor!C31</f>
        <v>0</v>
      </c>
      <c r="E27" s="7">
        <f>+CotProveedor!I31</f>
        <v>0</v>
      </c>
      <c r="F27" s="7">
        <f t="shared" si="0"/>
        <v>0</v>
      </c>
    </row>
    <row r="28" spans="1:6" ht="23.25" customHeight="1" x14ac:dyDescent="0.25">
      <c r="A28" s="13">
        <v>27</v>
      </c>
      <c r="B28" s="21">
        <f>+CotProveedor!A32</f>
        <v>0</v>
      </c>
      <c r="C28" s="5">
        <f>CotProveedor!B32</f>
        <v>0</v>
      </c>
      <c r="D28" s="6">
        <f>+CotProveedor!C32</f>
        <v>0</v>
      </c>
      <c r="E28" s="7">
        <f>+CotProveedor!I32</f>
        <v>0</v>
      </c>
      <c r="F28" s="7">
        <f t="shared" si="0"/>
        <v>0</v>
      </c>
    </row>
    <row r="29" spans="1:6" ht="39" customHeight="1" x14ac:dyDescent="0.25">
      <c r="A29" s="13">
        <v>28</v>
      </c>
      <c r="B29" s="21">
        <f>+CotProveedor!A33</f>
        <v>0</v>
      </c>
      <c r="C29" s="5">
        <f>CotProveedor!B33</f>
        <v>0</v>
      </c>
      <c r="D29" s="6">
        <f>+CotProveedor!C33</f>
        <v>0</v>
      </c>
      <c r="E29" s="7">
        <f>+CotProveedor!I33</f>
        <v>0</v>
      </c>
      <c r="F29" s="7">
        <f t="shared" si="0"/>
        <v>0</v>
      </c>
    </row>
    <row r="30" spans="1:6" ht="45" customHeight="1" x14ac:dyDescent="0.25">
      <c r="A30" s="13">
        <v>29</v>
      </c>
      <c r="B30" s="21">
        <f>+CotProveedor!A34</f>
        <v>0</v>
      </c>
      <c r="C30" s="5">
        <f>CotProveedor!B34</f>
        <v>0</v>
      </c>
      <c r="D30" s="6">
        <f>+CotProveedor!C34</f>
        <v>0</v>
      </c>
      <c r="E30" s="7">
        <f>+CotProveedor!I34</f>
        <v>0</v>
      </c>
      <c r="F30" s="7">
        <f t="shared" si="0"/>
        <v>0</v>
      </c>
    </row>
    <row r="31" spans="1:6" ht="25.5" customHeight="1" x14ac:dyDescent="0.25">
      <c r="A31" s="13">
        <v>30</v>
      </c>
      <c r="B31" s="21">
        <f>+CotProveedor!A35</f>
        <v>0</v>
      </c>
      <c r="C31" s="5">
        <f>CotProveedor!B35</f>
        <v>0</v>
      </c>
      <c r="D31" s="6">
        <f>+CotProveedor!C35</f>
        <v>0</v>
      </c>
      <c r="E31" s="7">
        <f>+CotProveedor!I35</f>
        <v>0</v>
      </c>
      <c r="F31" s="7">
        <f t="shared" si="0"/>
        <v>0</v>
      </c>
    </row>
    <row r="32" spans="1:6" ht="42.75" customHeight="1" x14ac:dyDescent="0.25">
      <c r="A32" s="13">
        <v>31</v>
      </c>
      <c r="B32" s="21">
        <f>+CotProveedor!A36</f>
        <v>0</v>
      </c>
      <c r="C32" s="5">
        <f>CotProveedor!B36</f>
        <v>0</v>
      </c>
      <c r="D32" s="6">
        <f>+CotProveedor!C36</f>
        <v>0</v>
      </c>
      <c r="E32" s="7">
        <f>+CotProveedor!I36</f>
        <v>0</v>
      </c>
      <c r="F32" s="7">
        <f t="shared" si="0"/>
        <v>0</v>
      </c>
    </row>
    <row r="33" spans="1:6" ht="35.25" customHeight="1" x14ac:dyDescent="0.25">
      <c r="A33" s="13">
        <v>32</v>
      </c>
      <c r="B33" s="21">
        <f>+CotProveedor!A37</f>
        <v>0</v>
      </c>
      <c r="C33" s="5">
        <f>CotProveedor!B37</f>
        <v>0</v>
      </c>
      <c r="D33" s="6">
        <f>+CotProveedor!C37</f>
        <v>0</v>
      </c>
      <c r="E33" s="7">
        <f>+CotProveedor!I37</f>
        <v>0</v>
      </c>
      <c r="F33" s="7">
        <f t="shared" si="0"/>
        <v>0</v>
      </c>
    </row>
    <row r="34" spans="1:6" ht="40.5" customHeight="1" x14ac:dyDescent="0.25">
      <c r="A34" s="13">
        <v>33</v>
      </c>
      <c r="B34" s="21">
        <f>+CotProveedor!A38</f>
        <v>0</v>
      </c>
      <c r="C34" s="5">
        <f>CotProveedor!B38</f>
        <v>0</v>
      </c>
      <c r="D34" s="6">
        <f>+CotProveedor!C38</f>
        <v>0</v>
      </c>
      <c r="E34" s="7">
        <f>+CotProveedor!I38</f>
        <v>0</v>
      </c>
      <c r="F34" s="7">
        <f t="shared" si="0"/>
        <v>0</v>
      </c>
    </row>
    <row r="35" spans="1:6" ht="36" customHeight="1" x14ac:dyDescent="0.25">
      <c r="A35" s="13">
        <v>34</v>
      </c>
      <c r="B35" s="21">
        <f>+CotProveedor!A39</f>
        <v>0</v>
      </c>
      <c r="C35" s="5">
        <f>CotProveedor!B39</f>
        <v>0</v>
      </c>
      <c r="D35" s="6">
        <f>+CotProveedor!C39</f>
        <v>0</v>
      </c>
      <c r="E35" s="7">
        <f>+CotProveedor!I39</f>
        <v>0</v>
      </c>
      <c r="F35" s="7">
        <f t="shared" si="0"/>
        <v>0</v>
      </c>
    </row>
    <row r="36" spans="1:6" ht="36" customHeight="1" x14ac:dyDescent="0.25">
      <c r="A36" s="13">
        <v>35</v>
      </c>
      <c r="B36" s="21">
        <f>+CotProveedor!A40</f>
        <v>0</v>
      </c>
      <c r="C36" s="5">
        <f>CotProveedor!B40</f>
        <v>0</v>
      </c>
      <c r="D36" s="6">
        <f>+CotProveedor!C40</f>
        <v>0</v>
      </c>
      <c r="E36" s="7">
        <f>+CotProveedor!I40</f>
        <v>0</v>
      </c>
      <c r="F36" s="7">
        <f t="shared" si="0"/>
        <v>0</v>
      </c>
    </row>
    <row r="37" spans="1:6" ht="57.75" customHeight="1" x14ac:dyDescent="0.25">
      <c r="A37" s="13">
        <v>36</v>
      </c>
      <c r="B37" s="21">
        <f>+CotProveedor!A41</f>
        <v>0</v>
      </c>
      <c r="C37" s="5">
        <f>CotProveedor!B41</f>
        <v>0</v>
      </c>
      <c r="D37" s="6">
        <f>+CotProveedor!C41</f>
        <v>0</v>
      </c>
      <c r="E37" s="7">
        <f>+CotProveedor!I41</f>
        <v>0</v>
      </c>
      <c r="F37" s="7">
        <f t="shared" si="0"/>
        <v>0</v>
      </c>
    </row>
    <row r="38" spans="1:6" x14ac:dyDescent="0.25">
      <c r="A38" s="13">
        <v>37</v>
      </c>
      <c r="B38" s="21">
        <f>+CotProveedor!A42</f>
        <v>0</v>
      </c>
      <c r="C38" s="5">
        <f>CotProveedor!B42</f>
        <v>0</v>
      </c>
      <c r="D38" s="6">
        <f>+CotProveedor!C42</f>
        <v>0</v>
      </c>
      <c r="E38" s="7">
        <f>+CotProveedor!I42</f>
        <v>0</v>
      </c>
      <c r="F38" s="7">
        <f t="shared" si="0"/>
        <v>0</v>
      </c>
    </row>
    <row r="39" spans="1:6" x14ac:dyDescent="0.25">
      <c r="A39" s="13">
        <v>38</v>
      </c>
      <c r="B39" s="21">
        <f>+CotProveedor!A43</f>
        <v>0</v>
      </c>
      <c r="C39" s="5">
        <f>CotProveedor!B43</f>
        <v>0</v>
      </c>
      <c r="D39" s="6">
        <f>+CotProveedor!C43</f>
        <v>0</v>
      </c>
      <c r="E39" s="7">
        <f>+CotProveedor!I43</f>
        <v>0</v>
      </c>
      <c r="F39" s="7">
        <f t="shared" si="0"/>
        <v>0</v>
      </c>
    </row>
    <row r="40" spans="1:6" x14ac:dyDescent="0.25">
      <c r="A40" s="13">
        <v>39</v>
      </c>
      <c r="B40" s="21">
        <f>+CotProveedor!A44</f>
        <v>0</v>
      </c>
      <c r="C40" s="5">
        <f>CotProveedor!B44</f>
        <v>0</v>
      </c>
      <c r="D40" s="6">
        <f>+CotProveedor!C44</f>
        <v>0</v>
      </c>
      <c r="E40" s="7">
        <f>+CotProveedor!I44</f>
        <v>0</v>
      </c>
      <c r="F40" s="7">
        <f t="shared" si="0"/>
        <v>0</v>
      </c>
    </row>
    <row r="41" spans="1:6" x14ac:dyDescent="0.25">
      <c r="A41" s="13">
        <v>40</v>
      </c>
      <c r="B41" s="21">
        <f>+CotProveedor!A45</f>
        <v>0</v>
      </c>
      <c r="C41" s="5">
        <f>CotProveedor!B45</f>
        <v>0</v>
      </c>
      <c r="D41" s="6">
        <f>+CotProveedor!C45</f>
        <v>0</v>
      </c>
      <c r="E41" s="7">
        <f>+CotProveedor!I45</f>
        <v>0</v>
      </c>
      <c r="F41" s="7">
        <f t="shared" si="0"/>
        <v>0</v>
      </c>
    </row>
    <row r="42" spans="1:6" x14ac:dyDescent="0.25">
      <c r="A42" s="13">
        <v>41</v>
      </c>
      <c r="B42" s="21">
        <f>+CotProveedor!A46</f>
        <v>0</v>
      </c>
      <c r="C42" s="5">
        <f>CotProveedor!B46</f>
        <v>0</v>
      </c>
      <c r="D42" s="6">
        <f>+CotProveedor!C46</f>
        <v>0</v>
      </c>
      <c r="E42" s="7">
        <f>+CotProveedor!I46</f>
        <v>0</v>
      </c>
      <c r="F42" s="7">
        <f t="shared" si="0"/>
        <v>0</v>
      </c>
    </row>
    <row r="43" spans="1:6" x14ac:dyDescent="0.25">
      <c r="A43" s="13">
        <v>42</v>
      </c>
      <c r="B43" s="21">
        <f>+CotProveedor!A47</f>
        <v>0</v>
      </c>
      <c r="C43" s="5">
        <f>CotProveedor!B47</f>
        <v>0</v>
      </c>
      <c r="D43" s="6">
        <f>+CotProveedor!C47</f>
        <v>0</v>
      </c>
      <c r="E43" s="7">
        <f>+CotProveedor!I47</f>
        <v>0</v>
      </c>
      <c r="F43" s="7">
        <f t="shared" si="0"/>
        <v>0</v>
      </c>
    </row>
    <row r="44" spans="1:6" x14ac:dyDescent="0.25">
      <c r="A44" s="13">
        <v>43</v>
      </c>
      <c r="B44" s="21">
        <f>+CotProveedor!A48</f>
        <v>0</v>
      </c>
      <c r="C44" s="5">
        <f>CotProveedor!B48</f>
        <v>0</v>
      </c>
      <c r="D44" s="6">
        <f>+CotProveedor!C48</f>
        <v>0</v>
      </c>
      <c r="E44" s="7">
        <f>+CotProveedor!I48</f>
        <v>0</v>
      </c>
      <c r="F44" s="7">
        <f t="shared" si="0"/>
        <v>0</v>
      </c>
    </row>
    <row r="45" spans="1:6" x14ac:dyDescent="0.25">
      <c r="A45" s="13">
        <v>44</v>
      </c>
      <c r="B45" s="21">
        <f>+CotProveedor!A49</f>
        <v>0</v>
      </c>
      <c r="C45" s="5">
        <f>CotProveedor!B49</f>
        <v>0</v>
      </c>
      <c r="D45" s="6">
        <f>+CotProveedor!C49</f>
        <v>0</v>
      </c>
      <c r="E45" s="7">
        <f>+CotProveedor!I49</f>
        <v>0</v>
      </c>
      <c r="F45" s="7">
        <f t="shared" si="0"/>
        <v>0</v>
      </c>
    </row>
    <row r="46" spans="1:6" x14ac:dyDescent="0.25">
      <c r="A46" s="13">
        <v>45</v>
      </c>
      <c r="B46" s="21">
        <f>+CotProveedor!A50</f>
        <v>0</v>
      </c>
      <c r="C46" s="5">
        <f>CotProveedor!B50</f>
        <v>0</v>
      </c>
      <c r="D46" s="6">
        <f>+CotProveedor!C50</f>
        <v>0</v>
      </c>
      <c r="E46" s="7">
        <f>+CotProveedor!I50</f>
        <v>0</v>
      </c>
      <c r="F46" s="7">
        <f t="shared" si="0"/>
        <v>0</v>
      </c>
    </row>
    <row r="47" spans="1:6" x14ac:dyDescent="0.25">
      <c r="A47" s="13">
        <v>46</v>
      </c>
      <c r="B47" s="21">
        <f>+CotProveedor!A51</f>
        <v>0</v>
      </c>
      <c r="C47" s="5">
        <f>CotProveedor!B51</f>
        <v>0</v>
      </c>
      <c r="D47" s="6">
        <f>+CotProveedor!C51</f>
        <v>0</v>
      </c>
      <c r="E47" s="7">
        <f>+CotProveedor!I51</f>
        <v>0</v>
      </c>
      <c r="F47" s="7">
        <f t="shared" si="0"/>
        <v>0</v>
      </c>
    </row>
    <row r="48" spans="1:6" x14ac:dyDescent="0.25">
      <c r="A48" s="13">
        <v>47</v>
      </c>
      <c r="B48" s="21">
        <f>+CotProveedor!A52</f>
        <v>0</v>
      </c>
      <c r="C48" s="5">
        <f>CotProveedor!B52</f>
        <v>0</v>
      </c>
      <c r="D48" s="6">
        <f>+CotProveedor!C52</f>
        <v>0</v>
      </c>
      <c r="E48" s="7">
        <f>+CotProveedor!I52</f>
        <v>0</v>
      </c>
      <c r="F48" s="7">
        <f t="shared" si="0"/>
        <v>0</v>
      </c>
    </row>
    <row r="49" spans="1:6" x14ac:dyDescent="0.25">
      <c r="A49" s="13">
        <v>48</v>
      </c>
      <c r="B49" s="21">
        <f>+CotProveedor!A53</f>
        <v>0</v>
      </c>
      <c r="C49" s="5">
        <f>CotProveedor!B53</f>
        <v>0</v>
      </c>
      <c r="D49" s="6">
        <f>+CotProveedor!C53</f>
        <v>0</v>
      </c>
      <c r="E49" s="7">
        <f>+CotProveedor!I53</f>
        <v>0</v>
      </c>
      <c r="F49" s="7">
        <f t="shared" si="0"/>
        <v>0</v>
      </c>
    </row>
    <row r="50" spans="1:6" x14ac:dyDescent="0.25">
      <c r="A50" s="13">
        <v>49</v>
      </c>
      <c r="B50" s="21">
        <f>+CotProveedor!A54</f>
        <v>0</v>
      </c>
      <c r="C50" s="5">
        <f>CotProveedor!B54</f>
        <v>0</v>
      </c>
      <c r="D50" s="6">
        <f>+CotProveedor!C54</f>
        <v>0</v>
      </c>
      <c r="E50" s="7">
        <f>+CotProveedor!I54</f>
        <v>0</v>
      </c>
      <c r="F50" s="7">
        <f t="shared" si="0"/>
        <v>0</v>
      </c>
    </row>
    <row r="51" spans="1:6" x14ac:dyDescent="0.25">
      <c r="A51" s="13">
        <v>50</v>
      </c>
      <c r="B51" s="21">
        <f>+CotProveedor!A55</f>
        <v>0</v>
      </c>
      <c r="C51" s="5">
        <f>CotProveedor!B55</f>
        <v>0</v>
      </c>
      <c r="D51" s="6">
        <f>+CotProveedor!C55</f>
        <v>0</v>
      </c>
      <c r="E51" s="7">
        <f>+CotProveedor!I55</f>
        <v>0</v>
      </c>
      <c r="F51" s="7">
        <f t="shared" si="0"/>
        <v>0</v>
      </c>
    </row>
    <row r="52" spans="1:6" x14ac:dyDescent="0.25">
      <c r="A52" s="13">
        <v>51</v>
      </c>
      <c r="B52" s="21">
        <f>+CotProveedor!A56</f>
        <v>0</v>
      </c>
      <c r="C52" s="5">
        <f>CotProveedor!B56</f>
        <v>0</v>
      </c>
      <c r="D52" s="6">
        <f>+CotProveedor!C56</f>
        <v>0</v>
      </c>
      <c r="E52" s="7">
        <f>+CotProveedor!I56</f>
        <v>0</v>
      </c>
      <c r="F52" s="7">
        <f t="shared" si="0"/>
        <v>0</v>
      </c>
    </row>
    <row r="53" spans="1:6" x14ac:dyDescent="0.25">
      <c r="A53" s="13">
        <v>52</v>
      </c>
      <c r="B53" s="21">
        <f>+CotProveedor!A57</f>
        <v>0</v>
      </c>
      <c r="C53" s="5">
        <f>CotProveedor!B57</f>
        <v>0</v>
      </c>
      <c r="D53" s="6">
        <f>+CotProveedor!C57</f>
        <v>0</v>
      </c>
      <c r="E53" s="7">
        <f>+CotProveedor!I57</f>
        <v>0</v>
      </c>
      <c r="F53" s="7">
        <f t="shared" si="0"/>
        <v>0</v>
      </c>
    </row>
    <row r="54" spans="1:6" x14ac:dyDescent="0.25">
      <c r="A54" s="13">
        <v>53</v>
      </c>
      <c r="B54" s="21">
        <f>+CotProveedor!A58</f>
        <v>0</v>
      </c>
      <c r="C54" s="5">
        <f>CotProveedor!B58</f>
        <v>0</v>
      </c>
      <c r="D54" s="6">
        <f>+CotProveedor!C58</f>
        <v>0</v>
      </c>
      <c r="E54" s="7">
        <f>+CotProveedor!I58</f>
        <v>0</v>
      </c>
      <c r="F54" s="7">
        <f t="shared" si="0"/>
        <v>0</v>
      </c>
    </row>
    <row r="55" spans="1:6" x14ac:dyDescent="0.25">
      <c r="A55" s="13">
        <v>54</v>
      </c>
      <c r="B55" s="21">
        <f>+CotProveedor!A59</f>
        <v>0</v>
      </c>
      <c r="C55" s="5">
        <f>CotProveedor!B59</f>
        <v>0</v>
      </c>
      <c r="D55" s="6">
        <f>+CotProveedor!C59</f>
        <v>0</v>
      </c>
      <c r="E55" s="7">
        <f>+CotProveedor!I59</f>
        <v>0</v>
      </c>
      <c r="F55" s="7">
        <f t="shared" si="0"/>
        <v>0</v>
      </c>
    </row>
    <row r="56" spans="1:6" x14ac:dyDescent="0.25">
      <c r="A56" s="13">
        <v>55</v>
      </c>
      <c r="B56" s="21">
        <f>+CotProveedor!A60</f>
        <v>0</v>
      </c>
      <c r="C56" s="5">
        <f>CotProveedor!B60</f>
        <v>0</v>
      </c>
      <c r="D56" s="6">
        <f>+CotProveedor!C60</f>
        <v>0</v>
      </c>
      <c r="E56" s="7">
        <f>+CotProveedor!I60</f>
        <v>0</v>
      </c>
      <c r="F56" s="7">
        <f t="shared" si="0"/>
        <v>0</v>
      </c>
    </row>
    <row r="57" spans="1:6" x14ac:dyDescent="0.25">
      <c r="A57" s="13">
        <v>56</v>
      </c>
      <c r="B57" s="21">
        <f>+CotProveedor!A61</f>
        <v>0</v>
      </c>
      <c r="C57" s="5">
        <f>CotProveedor!B61</f>
        <v>0</v>
      </c>
      <c r="D57" s="6">
        <f>+CotProveedor!C61</f>
        <v>0</v>
      </c>
      <c r="E57" s="7">
        <f>+CotProveedor!I61</f>
        <v>0</v>
      </c>
      <c r="F57" s="7">
        <f t="shared" si="0"/>
        <v>0</v>
      </c>
    </row>
    <row r="58" spans="1:6" x14ac:dyDescent="0.25">
      <c r="A58" s="13">
        <v>57</v>
      </c>
      <c r="B58" s="21">
        <f>+CotProveedor!A62</f>
        <v>0</v>
      </c>
      <c r="C58" s="5">
        <f>CotProveedor!B62</f>
        <v>0</v>
      </c>
      <c r="D58" s="6">
        <f>+CotProveedor!C62</f>
        <v>0</v>
      </c>
      <c r="E58" s="7">
        <f>+CotProveedor!I62</f>
        <v>0</v>
      </c>
      <c r="F58" s="7">
        <f t="shared" si="0"/>
        <v>0</v>
      </c>
    </row>
    <row r="59" spans="1:6" x14ac:dyDescent="0.25">
      <c r="A59" s="13">
        <v>58</v>
      </c>
      <c r="B59" s="21">
        <f>+CotProveedor!A63</f>
        <v>0</v>
      </c>
      <c r="C59" s="5">
        <f>CotProveedor!B63</f>
        <v>0</v>
      </c>
      <c r="D59" s="6">
        <f>+CotProveedor!C63</f>
        <v>0</v>
      </c>
      <c r="E59" s="7">
        <f>+CotProveedor!I63</f>
        <v>0</v>
      </c>
      <c r="F59" s="7">
        <f t="shared" si="0"/>
        <v>0</v>
      </c>
    </row>
    <row r="60" spans="1:6" x14ac:dyDescent="0.25">
      <c r="A60" s="13">
        <v>59</v>
      </c>
      <c r="B60" s="21">
        <f>+CotProveedor!A64</f>
        <v>0</v>
      </c>
      <c r="C60" s="5">
        <f>CotProveedor!B64</f>
        <v>0</v>
      </c>
      <c r="D60" s="6">
        <f>+CotProveedor!C64</f>
        <v>0</v>
      </c>
      <c r="E60" s="7">
        <f>+CotProveedor!I64</f>
        <v>0</v>
      </c>
      <c r="F60" s="7">
        <f t="shared" si="0"/>
        <v>0</v>
      </c>
    </row>
    <row r="61" spans="1:6" x14ac:dyDescent="0.25">
      <c r="A61" s="13">
        <v>60</v>
      </c>
      <c r="B61" s="21">
        <f>+CotProveedor!A65</f>
        <v>0</v>
      </c>
      <c r="C61" s="5">
        <f>CotProveedor!B65</f>
        <v>0</v>
      </c>
      <c r="D61" s="6">
        <f>+CotProveedor!C65</f>
        <v>0</v>
      </c>
      <c r="E61" s="7">
        <f>+CotProveedor!I65</f>
        <v>0</v>
      </c>
      <c r="F61" s="7">
        <f t="shared" si="0"/>
        <v>0</v>
      </c>
    </row>
    <row r="62" spans="1:6" x14ac:dyDescent="0.25">
      <c r="A62" s="13">
        <v>61</v>
      </c>
      <c r="B62" s="21">
        <f>+CotProveedor!A66</f>
        <v>0</v>
      </c>
      <c r="C62" s="5">
        <f>CotProveedor!B66</f>
        <v>0</v>
      </c>
      <c r="D62" s="6">
        <f>+CotProveedor!C66</f>
        <v>0</v>
      </c>
      <c r="E62" s="7">
        <f>+CotProveedor!I66</f>
        <v>0</v>
      </c>
      <c r="F62" s="7">
        <f t="shared" si="0"/>
        <v>0</v>
      </c>
    </row>
    <row r="63" spans="1:6" x14ac:dyDescent="0.25">
      <c r="A63" s="13">
        <v>62</v>
      </c>
      <c r="B63" s="21">
        <f>+CotProveedor!A67</f>
        <v>0</v>
      </c>
      <c r="C63" s="5">
        <f>CotProveedor!B67</f>
        <v>0</v>
      </c>
      <c r="D63" s="6">
        <f>+CotProveedor!C67</f>
        <v>0</v>
      </c>
      <c r="E63" s="7">
        <f>+CotProveedor!I67</f>
        <v>0</v>
      </c>
      <c r="F63" s="7">
        <f t="shared" si="0"/>
        <v>0</v>
      </c>
    </row>
    <row r="64" spans="1:6" x14ac:dyDescent="0.25">
      <c r="A64" s="13">
        <v>63</v>
      </c>
      <c r="B64" s="21">
        <f>+CotProveedor!A68</f>
        <v>0</v>
      </c>
      <c r="C64" s="5">
        <f>CotProveedor!B68</f>
        <v>0</v>
      </c>
      <c r="D64" s="6">
        <f>+CotProveedor!C68</f>
        <v>0</v>
      </c>
      <c r="E64" s="7">
        <f>+CotProveedor!I68</f>
        <v>0</v>
      </c>
      <c r="F64" s="7">
        <f t="shared" si="0"/>
        <v>0</v>
      </c>
    </row>
    <row r="65" spans="1:6" x14ac:dyDescent="0.25">
      <c r="A65" s="13">
        <v>64</v>
      </c>
      <c r="B65" s="21">
        <f>+CotProveedor!A69</f>
        <v>0</v>
      </c>
      <c r="C65" s="5">
        <f>CotProveedor!B69</f>
        <v>0</v>
      </c>
      <c r="D65" s="6">
        <f>+CotProveedor!C69</f>
        <v>0</v>
      </c>
      <c r="E65" s="7">
        <f>+CotProveedor!I69</f>
        <v>0</v>
      </c>
      <c r="F65" s="7">
        <f t="shared" si="0"/>
        <v>0</v>
      </c>
    </row>
    <row r="66" spans="1:6" x14ac:dyDescent="0.25">
      <c r="A66" s="13">
        <v>65</v>
      </c>
      <c r="B66" s="21">
        <f>+CotProveedor!A70</f>
        <v>0</v>
      </c>
      <c r="C66" s="5">
        <f>CotProveedor!B70</f>
        <v>0</v>
      </c>
      <c r="D66" s="6">
        <f>+CotProveedor!C70</f>
        <v>0</v>
      </c>
      <c r="E66" s="7">
        <f>+CotProveedor!I70</f>
        <v>0</v>
      </c>
      <c r="F66" s="7">
        <f t="shared" si="0"/>
        <v>0</v>
      </c>
    </row>
    <row r="67" spans="1:6" x14ac:dyDescent="0.25">
      <c r="A67" s="13">
        <v>66</v>
      </c>
      <c r="B67" s="21">
        <f>+CotProveedor!A71</f>
        <v>0</v>
      </c>
      <c r="C67" s="5">
        <f>CotProveedor!B71</f>
        <v>0</v>
      </c>
      <c r="D67" s="6">
        <f>+CotProveedor!C71</f>
        <v>0</v>
      </c>
      <c r="E67" s="7">
        <f>+CotProveedor!I71</f>
        <v>0</v>
      </c>
      <c r="F67" s="7">
        <f t="shared" ref="F67:F111" si="1">D67*E67</f>
        <v>0</v>
      </c>
    </row>
    <row r="68" spans="1:6" x14ac:dyDescent="0.25">
      <c r="A68" s="13">
        <v>67</v>
      </c>
      <c r="B68" s="21">
        <f>+CotProveedor!A72</f>
        <v>0</v>
      </c>
      <c r="C68" s="5">
        <f>CotProveedor!B72</f>
        <v>0</v>
      </c>
      <c r="D68" s="6">
        <f>+CotProveedor!C72</f>
        <v>0</v>
      </c>
      <c r="E68" s="7">
        <f>+CotProveedor!I72</f>
        <v>0</v>
      </c>
      <c r="F68" s="7">
        <f t="shared" si="1"/>
        <v>0</v>
      </c>
    </row>
    <row r="69" spans="1:6" x14ac:dyDescent="0.25">
      <c r="A69" s="13">
        <v>68</v>
      </c>
      <c r="B69" s="21">
        <f>+CotProveedor!A73</f>
        <v>0</v>
      </c>
      <c r="C69" s="5">
        <f>CotProveedor!B73</f>
        <v>0</v>
      </c>
      <c r="D69" s="6">
        <f>+CotProveedor!C73</f>
        <v>0</v>
      </c>
      <c r="E69" s="7">
        <f>+CotProveedor!I73</f>
        <v>0</v>
      </c>
      <c r="F69" s="7">
        <f t="shared" si="1"/>
        <v>0</v>
      </c>
    </row>
    <row r="70" spans="1:6" x14ac:dyDescent="0.25">
      <c r="A70" s="13">
        <v>69</v>
      </c>
      <c r="B70" s="21">
        <f>+CotProveedor!A74</f>
        <v>0</v>
      </c>
      <c r="C70" s="5">
        <f>CotProveedor!B74</f>
        <v>0</v>
      </c>
      <c r="D70" s="6">
        <f>+CotProveedor!C74</f>
        <v>0</v>
      </c>
      <c r="E70" s="7">
        <f>+CotProveedor!I74</f>
        <v>0</v>
      </c>
      <c r="F70" s="7">
        <f t="shared" si="1"/>
        <v>0</v>
      </c>
    </row>
    <row r="71" spans="1:6" x14ac:dyDescent="0.25">
      <c r="A71" s="13">
        <v>70</v>
      </c>
      <c r="B71" s="21">
        <f>+CotProveedor!A75</f>
        <v>0</v>
      </c>
      <c r="C71" s="5">
        <f>CotProveedor!B75</f>
        <v>0</v>
      </c>
      <c r="D71" s="6">
        <f>+CotProveedor!C75</f>
        <v>0</v>
      </c>
      <c r="E71" s="7">
        <f>+CotProveedor!I75</f>
        <v>0</v>
      </c>
      <c r="F71" s="7">
        <f t="shared" si="1"/>
        <v>0</v>
      </c>
    </row>
    <row r="72" spans="1:6" x14ac:dyDescent="0.25">
      <c r="A72" s="13">
        <v>71</v>
      </c>
      <c r="B72" s="21">
        <f>+CotProveedor!A76</f>
        <v>0</v>
      </c>
      <c r="C72" s="5">
        <f>CotProveedor!B76</f>
        <v>0</v>
      </c>
      <c r="D72" s="6">
        <f>+CotProveedor!C76</f>
        <v>0</v>
      </c>
      <c r="E72" s="7">
        <f>+CotProveedor!I76</f>
        <v>0</v>
      </c>
      <c r="F72" s="7">
        <f t="shared" si="1"/>
        <v>0</v>
      </c>
    </row>
    <row r="73" spans="1:6" x14ac:dyDescent="0.25">
      <c r="A73" s="13">
        <v>72</v>
      </c>
      <c r="B73" s="21">
        <f>+CotProveedor!A77</f>
        <v>0</v>
      </c>
      <c r="C73" s="5">
        <f>CotProveedor!B77</f>
        <v>0</v>
      </c>
      <c r="D73" s="6">
        <f>+CotProveedor!C77</f>
        <v>0</v>
      </c>
      <c r="E73" s="7">
        <f>+CotProveedor!I77</f>
        <v>0</v>
      </c>
      <c r="F73" s="7">
        <f t="shared" si="1"/>
        <v>0</v>
      </c>
    </row>
    <row r="74" spans="1:6" x14ac:dyDescent="0.25">
      <c r="A74" s="13">
        <v>73</v>
      </c>
      <c r="B74" s="21">
        <f>+CotProveedor!A78</f>
        <v>0</v>
      </c>
      <c r="C74" s="5">
        <f>CotProveedor!B78</f>
        <v>0</v>
      </c>
      <c r="D74" s="6">
        <f>+CotProveedor!C78</f>
        <v>0</v>
      </c>
      <c r="E74" s="7">
        <f>+CotProveedor!I78</f>
        <v>0</v>
      </c>
      <c r="F74" s="7">
        <f t="shared" si="1"/>
        <v>0</v>
      </c>
    </row>
    <row r="75" spans="1:6" x14ac:dyDescent="0.25">
      <c r="A75" s="13">
        <v>74</v>
      </c>
      <c r="B75" s="21">
        <f>+CotProveedor!A79</f>
        <v>0</v>
      </c>
      <c r="C75" s="5">
        <f>CotProveedor!B79</f>
        <v>0</v>
      </c>
      <c r="D75" s="6">
        <f>+CotProveedor!C79</f>
        <v>0</v>
      </c>
      <c r="E75" s="7">
        <f>+CotProveedor!I79</f>
        <v>0</v>
      </c>
      <c r="F75" s="7">
        <f t="shared" si="1"/>
        <v>0</v>
      </c>
    </row>
    <row r="76" spans="1:6" x14ac:dyDescent="0.25">
      <c r="A76" s="13">
        <v>75</v>
      </c>
      <c r="B76" s="21">
        <f>+CotProveedor!A80</f>
        <v>0</v>
      </c>
      <c r="C76" s="5">
        <f>CotProveedor!B80</f>
        <v>0</v>
      </c>
      <c r="D76" s="6">
        <f>+CotProveedor!C80</f>
        <v>0</v>
      </c>
      <c r="E76" s="7">
        <f>+CotProveedor!I80</f>
        <v>0</v>
      </c>
      <c r="F76" s="7">
        <f t="shared" si="1"/>
        <v>0</v>
      </c>
    </row>
    <row r="77" spans="1:6" x14ac:dyDescent="0.25">
      <c r="A77" s="13">
        <v>76</v>
      </c>
      <c r="B77" s="21">
        <f>+CotProveedor!A81</f>
        <v>0</v>
      </c>
      <c r="C77" s="5">
        <f>CotProveedor!B81</f>
        <v>0</v>
      </c>
      <c r="D77" s="6">
        <f>+CotProveedor!C81</f>
        <v>0</v>
      </c>
      <c r="E77" s="7">
        <f>+CotProveedor!I81</f>
        <v>0</v>
      </c>
      <c r="F77" s="7">
        <f t="shared" si="1"/>
        <v>0</v>
      </c>
    </row>
    <row r="78" spans="1:6" x14ac:dyDescent="0.25">
      <c r="A78" s="13">
        <v>77</v>
      </c>
      <c r="B78" s="21">
        <f>+CotProveedor!A82</f>
        <v>0</v>
      </c>
      <c r="C78" s="5">
        <f>CotProveedor!B82</f>
        <v>0</v>
      </c>
      <c r="D78" s="6">
        <f>+CotProveedor!C82</f>
        <v>0</v>
      </c>
      <c r="E78" s="7">
        <f>+CotProveedor!I82</f>
        <v>0</v>
      </c>
      <c r="F78" s="7">
        <f t="shared" si="1"/>
        <v>0</v>
      </c>
    </row>
    <row r="79" spans="1:6" x14ac:dyDescent="0.25">
      <c r="A79" s="13">
        <v>78</v>
      </c>
      <c r="B79" s="21">
        <f>+CotProveedor!A83</f>
        <v>0</v>
      </c>
      <c r="C79" s="5">
        <f>CotProveedor!B83</f>
        <v>0</v>
      </c>
      <c r="D79" s="6">
        <f>+CotProveedor!C83</f>
        <v>0</v>
      </c>
      <c r="E79" s="7">
        <f>+CotProveedor!I83</f>
        <v>0</v>
      </c>
      <c r="F79" s="7">
        <f t="shared" si="1"/>
        <v>0</v>
      </c>
    </row>
    <row r="80" spans="1:6" x14ac:dyDescent="0.25">
      <c r="A80" s="13">
        <v>79</v>
      </c>
      <c r="B80" s="21">
        <f>+CotProveedor!A84</f>
        <v>0</v>
      </c>
      <c r="C80" s="5">
        <f>CotProveedor!B84</f>
        <v>0</v>
      </c>
      <c r="D80" s="6">
        <f>+CotProveedor!C84</f>
        <v>0</v>
      </c>
      <c r="E80" s="7">
        <f>+CotProveedor!I84</f>
        <v>0</v>
      </c>
      <c r="F80" s="7">
        <f t="shared" si="1"/>
        <v>0</v>
      </c>
    </row>
    <row r="81" spans="1:6" x14ac:dyDescent="0.25">
      <c r="A81" s="13">
        <v>80</v>
      </c>
      <c r="B81" s="21">
        <f>+CotProveedor!A85</f>
        <v>0</v>
      </c>
      <c r="C81" s="5">
        <f>CotProveedor!B85</f>
        <v>0</v>
      </c>
      <c r="D81" s="6">
        <f>+CotProveedor!C85</f>
        <v>0</v>
      </c>
      <c r="E81" s="7">
        <f>+CotProveedor!I85</f>
        <v>0</v>
      </c>
      <c r="F81" s="7">
        <f t="shared" si="1"/>
        <v>0</v>
      </c>
    </row>
    <row r="82" spans="1:6" x14ac:dyDescent="0.25">
      <c r="A82" s="13">
        <v>81</v>
      </c>
      <c r="B82" s="21">
        <f>+CotProveedor!A86</f>
        <v>0</v>
      </c>
      <c r="C82" s="5">
        <f>CotProveedor!B86</f>
        <v>0</v>
      </c>
      <c r="D82" s="6">
        <f>+CotProveedor!C86</f>
        <v>0</v>
      </c>
      <c r="E82" s="7">
        <f>+CotProveedor!I86</f>
        <v>0</v>
      </c>
      <c r="F82" s="7">
        <f t="shared" si="1"/>
        <v>0</v>
      </c>
    </row>
    <row r="83" spans="1:6" x14ac:dyDescent="0.25">
      <c r="A83" s="13">
        <v>82</v>
      </c>
      <c r="B83" s="21">
        <f>+CotProveedor!A87</f>
        <v>0</v>
      </c>
      <c r="C83" s="5">
        <f>CotProveedor!B87</f>
        <v>0</v>
      </c>
      <c r="D83" s="6">
        <f>+CotProveedor!C87</f>
        <v>0</v>
      </c>
      <c r="E83" s="7">
        <f>+CotProveedor!I87</f>
        <v>0</v>
      </c>
      <c r="F83" s="7">
        <f t="shared" si="1"/>
        <v>0</v>
      </c>
    </row>
    <row r="84" spans="1:6" x14ac:dyDescent="0.25">
      <c r="A84" s="13">
        <v>83</v>
      </c>
      <c r="B84" s="21">
        <f>+CotProveedor!A88</f>
        <v>0</v>
      </c>
      <c r="C84" s="5">
        <f>CotProveedor!B88</f>
        <v>0</v>
      </c>
      <c r="D84" s="6">
        <f>+CotProveedor!C88</f>
        <v>0</v>
      </c>
      <c r="E84" s="7">
        <f>+CotProveedor!I88</f>
        <v>0</v>
      </c>
      <c r="F84" s="7">
        <f t="shared" si="1"/>
        <v>0</v>
      </c>
    </row>
    <row r="85" spans="1:6" x14ac:dyDescent="0.25">
      <c r="A85" s="13">
        <v>84</v>
      </c>
      <c r="B85" s="21">
        <f>+CotProveedor!A89</f>
        <v>0</v>
      </c>
      <c r="C85" s="5">
        <f>CotProveedor!B89</f>
        <v>0</v>
      </c>
      <c r="D85" s="6">
        <f>+CotProveedor!C89</f>
        <v>0</v>
      </c>
      <c r="E85" s="7">
        <f>+CotProveedor!I89</f>
        <v>0</v>
      </c>
      <c r="F85" s="7">
        <f t="shared" si="1"/>
        <v>0</v>
      </c>
    </row>
    <row r="86" spans="1:6" x14ac:dyDescent="0.25">
      <c r="A86" s="13">
        <v>85</v>
      </c>
      <c r="B86" s="21">
        <f>+CotProveedor!A90</f>
        <v>0</v>
      </c>
      <c r="C86" s="5">
        <f>CotProveedor!B90</f>
        <v>0</v>
      </c>
      <c r="D86" s="6">
        <f>+CotProveedor!C90</f>
        <v>0</v>
      </c>
      <c r="E86" s="7">
        <f>+CotProveedor!I90</f>
        <v>0</v>
      </c>
      <c r="F86" s="7">
        <f t="shared" si="1"/>
        <v>0</v>
      </c>
    </row>
    <row r="87" spans="1:6" x14ac:dyDescent="0.25">
      <c r="A87" s="13">
        <v>86</v>
      </c>
      <c r="B87" s="21">
        <f>+CotProveedor!A91</f>
        <v>0</v>
      </c>
      <c r="C87" s="5">
        <f>CotProveedor!B91</f>
        <v>0</v>
      </c>
      <c r="D87" s="6">
        <f>+CotProveedor!C91</f>
        <v>0</v>
      </c>
      <c r="E87" s="7">
        <f>+CotProveedor!I91</f>
        <v>0</v>
      </c>
      <c r="F87" s="7">
        <f t="shared" si="1"/>
        <v>0</v>
      </c>
    </row>
    <row r="88" spans="1:6" x14ac:dyDescent="0.25">
      <c r="A88" s="13">
        <v>87</v>
      </c>
      <c r="B88" s="21">
        <f>+CotProveedor!A92</f>
        <v>0</v>
      </c>
      <c r="C88" s="5">
        <f>CotProveedor!B92</f>
        <v>0</v>
      </c>
      <c r="D88" s="6">
        <f>+CotProveedor!C92</f>
        <v>0</v>
      </c>
      <c r="E88" s="7">
        <f>+CotProveedor!I92</f>
        <v>0</v>
      </c>
      <c r="F88" s="7">
        <f t="shared" si="1"/>
        <v>0</v>
      </c>
    </row>
    <row r="89" spans="1:6" x14ac:dyDescent="0.25">
      <c r="A89" s="13">
        <v>88</v>
      </c>
      <c r="B89" s="21">
        <f>+CotProveedor!A93</f>
        <v>0</v>
      </c>
      <c r="C89" s="5">
        <f>CotProveedor!B93</f>
        <v>0</v>
      </c>
      <c r="D89" s="6">
        <f>+CotProveedor!C93</f>
        <v>0</v>
      </c>
      <c r="E89" s="7">
        <f>+CotProveedor!I93</f>
        <v>0</v>
      </c>
      <c r="F89" s="7">
        <f t="shared" si="1"/>
        <v>0</v>
      </c>
    </row>
    <row r="90" spans="1:6" x14ac:dyDescent="0.25">
      <c r="A90" s="13">
        <v>89</v>
      </c>
      <c r="B90" s="21">
        <f>+CotProveedor!A94</f>
        <v>0</v>
      </c>
      <c r="C90" s="5">
        <f>CotProveedor!B94</f>
        <v>0</v>
      </c>
      <c r="D90" s="6">
        <f>+CotProveedor!C94</f>
        <v>0</v>
      </c>
      <c r="E90" s="7">
        <f>+CotProveedor!I94</f>
        <v>0</v>
      </c>
      <c r="F90" s="7">
        <f t="shared" si="1"/>
        <v>0</v>
      </c>
    </row>
    <row r="91" spans="1:6" x14ac:dyDescent="0.25">
      <c r="A91" s="13">
        <v>90</v>
      </c>
      <c r="B91" s="21">
        <f>+CotProveedor!A95</f>
        <v>0</v>
      </c>
      <c r="C91" s="5">
        <f>CotProveedor!B95</f>
        <v>0</v>
      </c>
      <c r="D91" s="6">
        <f>+CotProveedor!C95</f>
        <v>0</v>
      </c>
      <c r="E91" s="7">
        <f>+CotProveedor!I95</f>
        <v>0</v>
      </c>
      <c r="F91" s="7">
        <f t="shared" si="1"/>
        <v>0</v>
      </c>
    </row>
    <row r="92" spans="1:6" x14ac:dyDescent="0.25">
      <c r="A92" s="13">
        <v>91</v>
      </c>
      <c r="B92" s="21">
        <f>+CotProveedor!A96</f>
        <v>0</v>
      </c>
      <c r="C92" s="5">
        <f>CotProveedor!B96</f>
        <v>0</v>
      </c>
      <c r="D92" s="6">
        <f>+CotProveedor!C96</f>
        <v>0</v>
      </c>
      <c r="E92" s="7">
        <f>+CotProveedor!I96</f>
        <v>0</v>
      </c>
      <c r="F92" s="7">
        <f t="shared" si="1"/>
        <v>0</v>
      </c>
    </row>
    <row r="93" spans="1:6" x14ac:dyDescent="0.25">
      <c r="A93" s="13">
        <v>92</v>
      </c>
      <c r="B93" s="21">
        <f>+CotProveedor!A97</f>
        <v>0</v>
      </c>
      <c r="C93" s="5">
        <f>CotProveedor!B97</f>
        <v>0</v>
      </c>
      <c r="D93" s="6">
        <f>+CotProveedor!C97</f>
        <v>0</v>
      </c>
      <c r="E93" s="7">
        <f>+CotProveedor!I97</f>
        <v>0</v>
      </c>
      <c r="F93" s="7">
        <f t="shared" si="1"/>
        <v>0</v>
      </c>
    </row>
    <row r="94" spans="1:6" x14ac:dyDescent="0.25">
      <c r="A94" s="13">
        <v>93</v>
      </c>
      <c r="B94" s="21">
        <f>+CotProveedor!A98</f>
        <v>0</v>
      </c>
      <c r="C94" s="5">
        <f>CotProveedor!B98</f>
        <v>0</v>
      </c>
      <c r="D94" s="6">
        <f>+CotProveedor!C98</f>
        <v>0</v>
      </c>
      <c r="E94" s="7">
        <f>+CotProveedor!I98</f>
        <v>0</v>
      </c>
      <c r="F94" s="7">
        <f t="shared" si="1"/>
        <v>0</v>
      </c>
    </row>
    <row r="95" spans="1:6" x14ac:dyDescent="0.25">
      <c r="A95" s="13">
        <v>94</v>
      </c>
      <c r="B95" s="21">
        <f>+CotProveedor!A99</f>
        <v>0</v>
      </c>
      <c r="C95" s="5">
        <f>CotProveedor!B99</f>
        <v>0</v>
      </c>
      <c r="D95" s="6">
        <f>+CotProveedor!C99</f>
        <v>0</v>
      </c>
      <c r="E95" s="7">
        <f>+CotProveedor!I99</f>
        <v>0</v>
      </c>
      <c r="F95" s="7">
        <f t="shared" si="1"/>
        <v>0</v>
      </c>
    </row>
    <row r="96" spans="1:6" x14ac:dyDescent="0.25">
      <c r="A96" s="13">
        <v>95</v>
      </c>
      <c r="B96" s="21">
        <f>+CotProveedor!A100</f>
        <v>0</v>
      </c>
      <c r="C96" s="5">
        <f>CotProveedor!B100</f>
        <v>0</v>
      </c>
      <c r="D96" s="6">
        <f>+CotProveedor!C100</f>
        <v>0</v>
      </c>
      <c r="E96" s="7">
        <f>+CotProveedor!I100</f>
        <v>0</v>
      </c>
      <c r="F96" s="7">
        <f t="shared" si="1"/>
        <v>0</v>
      </c>
    </row>
    <row r="97" spans="1:6" x14ac:dyDescent="0.25">
      <c r="A97" s="13">
        <v>96</v>
      </c>
      <c r="B97" s="21">
        <f>+CotProveedor!A101</f>
        <v>0</v>
      </c>
      <c r="C97" s="5">
        <f>CotProveedor!B101</f>
        <v>0</v>
      </c>
      <c r="D97" s="6">
        <f>+CotProveedor!C101</f>
        <v>0</v>
      </c>
      <c r="E97" s="7">
        <f>+CotProveedor!I101</f>
        <v>0</v>
      </c>
      <c r="F97" s="7">
        <f t="shared" si="1"/>
        <v>0</v>
      </c>
    </row>
    <row r="98" spans="1:6" x14ac:dyDescent="0.25">
      <c r="A98" s="13">
        <v>97</v>
      </c>
      <c r="B98" s="21">
        <f>+CotProveedor!A102</f>
        <v>0</v>
      </c>
      <c r="C98" s="5">
        <f>CotProveedor!B102</f>
        <v>0</v>
      </c>
      <c r="D98" s="6">
        <f>+CotProveedor!C102</f>
        <v>0</v>
      </c>
      <c r="E98" s="7">
        <f>+CotProveedor!I102</f>
        <v>0</v>
      </c>
      <c r="F98" s="7">
        <f t="shared" si="1"/>
        <v>0</v>
      </c>
    </row>
    <row r="99" spans="1:6" x14ac:dyDescent="0.25">
      <c r="A99" s="13">
        <v>98</v>
      </c>
      <c r="B99" s="21">
        <f>+CotProveedor!A103</f>
        <v>0</v>
      </c>
      <c r="C99" s="5">
        <f>CotProveedor!B103</f>
        <v>0</v>
      </c>
      <c r="D99" s="6">
        <f>+CotProveedor!C103</f>
        <v>0</v>
      </c>
      <c r="E99" s="7">
        <f>+CotProveedor!I103</f>
        <v>0</v>
      </c>
      <c r="F99" s="7">
        <f t="shared" si="1"/>
        <v>0</v>
      </c>
    </row>
    <row r="100" spans="1:6" x14ac:dyDescent="0.25">
      <c r="A100" s="13">
        <v>99</v>
      </c>
      <c r="B100" s="21">
        <f>+CotProveedor!A104</f>
        <v>0</v>
      </c>
      <c r="C100" s="5">
        <f>CotProveedor!B104</f>
        <v>0</v>
      </c>
      <c r="D100" s="6">
        <f>+CotProveedor!C104</f>
        <v>0</v>
      </c>
      <c r="E100" s="7">
        <f>+CotProveedor!I104</f>
        <v>0</v>
      </c>
      <c r="F100" s="7">
        <f t="shared" si="1"/>
        <v>0</v>
      </c>
    </row>
    <row r="101" spans="1:6" x14ac:dyDescent="0.25">
      <c r="A101" s="13">
        <v>100</v>
      </c>
      <c r="B101" s="21">
        <f>+CotProveedor!A105</f>
        <v>0</v>
      </c>
      <c r="C101" s="5">
        <f>CotProveedor!B105</f>
        <v>0</v>
      </c>
      <c r="D101" s="6">
        <f>+CotProveedor!C105</f>
        <v>0</v>
      </c>
      <c r="E101" s="7">
        <f>+CotProveedor!I105</f>
        <v>0</v>
      </c>
      <c r="F101" s="7">
        <f t="shared" si="1"/>
        <v>0</v>
      </c>
    </row>
    <row r="102" spans="1:6" x14ac:dyDescent="0.25">
      <c r="A102" s="13">
        <v>101</v>
      </c>
      <c r="B102" s="21">
        <f>+CotProveedor!A106</f>
        <v>0</v>
      </c>
      <c r="C102" s="5">
        <f>CotProveedor!B106</f>
        <v>0</v>
      </c>
      <c r="D102" s="6">
        <f>+CotProveedor!C106</f>
        <v>0</v>
      </c>
      <c r="E102" s="7">
        <f>+CotProveedor!I106</f>
        <v>0</v>
      </c>
      <c r="F102" s="7">
        <f t="shared" si="1"/>
        <v>0</v>
      </c>
    </row>
    <row r="103" spans="1:6" x14ac:dyDescent="0.25">
      <c r="A103" s="13">
        <v>102</v>
      </c>
      <c r="B103" s="21">
        <f>+CotProveedor!A107</f>
        <v>0</v>
      </c>
      <c r="C103" s="5">
        <f>CotProveedor!B107</f>
        <v>0</v>
      </c>
      <c r="D103" s="6">
        <f>+CotProveedor!C107</f>
        <v>0</v>
      </c>
      <c r="E103" s="7">
        <f>+CotProveedor!I107</f>
        <v>0</v>
      </c>
      <c r="F103" s="7">
        <f t="shared" si="1"/>
        <v>0</v>
      </c>
    </row>
    <row r="104" spans="1:6" x14ac:dyDescent="0.25">
      <c r="A104" s="13">
        <v>103</v>
      </c>
      <c r="B104" s="21">
        <f>+CotProveedor!A108</f>
        <v>0</v>
      </c>
      <c r="C104" s="5">
        <f>CotProveedor!B108</f>
        <v>0</v>
      </c>
      <c r="D104" s="6">
        <f>+CotProveedor!C108</f>
        <v>0</v>
      </c>
      <c r="E104" s="7">
        <f>+CotProveedor!I108</f>
        <v>0</v>
      </c>
      <c r="F104" s="7">
        <f t="shared" si="1"/>
        <v>0</v>
      </c>
    </row>
    <row r="105" spans="1:6" x14ac:dyDescent="0.25">
      <c r="A105" s="13">
        <v>104</v>
      </c>
      <c r="B105" s="21">
        <f>+CotProveedor!A109</f>
        <v>0</v>
      </c>
      <c r="C105" s="5">
        <f>CotProveedor!B109</f>
        <v>0</v>
      </c>
      <c r="D105" s="6">
        <f>+CotProveedor!C109</f>
        <v>0</v>
      </c>
      <c r="E105" s="7">
        <f>+CotProveedor!I109</f>
        <v>0</v>
      </c>
      <c r="F105" s="7">
        <f t="shared" si="1"/>
        <v>0</v>
      </c>
    </row>
    <row r="106" spans="1:6" x14ac:dyDescent="0.25">
      <c r="A106" s="13">
        <v>105</v>
      </c>
      <c r="B106" s="21">
        <f>+CotProveedor!A110</f>
        <v>0</v>
      </c>
      <c r="C106" s="5">
        <f>CotProveedor!B110</f>
        <v>0</v>
      </c>
      <c r="D106" s="6">
        <f>+CotProveedor!C110</f>
        <v>0</v>
      </c>
      <c r="E106" s="7">
        <f>+CotProveedor!I110</f>
        <v>0</v>
      </c>
      <c r="F106" s="7">
        <f t="shared" si="1"/>
        <v>0</v>
      </c>
    </row>
    <row r="107" spans="1:6" x14ac:dyDescent="0.25">
      <c r="A107" s="13">
        <v>106</v>
      </c>
      <c r="B107" s="21">
        <f>+CotProveedor!A111</f>
        <v>0</v>
      </c>
      <c r="C107" s="5">
        <f>CotProveedor!B111</f>
        <v>0</v>
      </c>
      <c r="D107" s="6">
        <f>+CotProveedor!C111</f>
        <v>0</v>
      </c>
      <c r="E107" s="7">
        <f>+CotProveedor!I111</f>
        <v>0</v>
      </c>
      <c r="F107" s="7">
        <f t="shared" si="1"/>
        <v>0</v>
      </c>
    </row>
    <row r="108" spans="1:6" x14ac:dyDescent="0.25">
      <c r="A108" s="13">
        <v>107</v>
      </c>
      <c r="B108" s="21">
        <f>+CotProveedor!A112</f>
        <v>0</v>
      </c>
      <c r="C108" s="5">
        <f>CotProveedor!B112</f>
        <v>0</v>
      </c>
      <c r="D108" s="6">
        <f>+CotProveedor!C112</f>
        <v>0</v>
      </c>
      <c r="E108" s="7">
        <f>+CotProveedor!I112</f>
        <v>0</v>
      </c>
      <c r="F108" s="7">
        <f t="shared" si="1"/>
        <v>0</v>
      </c>
    </row>
    <row r="109" spans="1:6" x14ac:dyDescent="0.25">
      <c r="A109" s="13">
        <v>108</v>
      </c>
      <c r="B109" s="21">
        <f>+CotProveedor!A113</f>
        <v>0</v>
      </c>
      <c r="C109" s="5">
        <f>CotProveedor!B113</f>
        <v>0</v>
      </c>
      <c r="D109" s="6">
        <f>+CotProveedor!C113</f>
        <v>0</v>
      </c>
      <c r="E109" s="7">
        <f>+CotProveedor!I113</f>
        <v>0</v>
      </c>
      <c r="F109" s="7">
        <f t="shared" si="1"/>
        <v>0</v>
      </c>
    </row>
    <row r="110" spans="1:6" x14ac:dyDescent="0.25">
      <c r="A110" s="13">
        <v>109</v>
      </c>
      <c r="B110" s="21">
        <f>+CotProveedor!A114</f>
        <v>0</v>
      </c>
      <c r="C110" s="5">
        <f>CotProveedor!B114</f>
        <v>0</v>
      </c>
      <c r="D110" s="6">
        <f>+CotProveedor!C114</f>
        <v>0</v>
      </c>
      <c r="E110" s="7">
        <f>+CotProveedor!I114</f>
        <v>0</v>
      </c>
      <c r="F110" s="7">
        <f t="shared" si="1"/>
        <v>0</v>
      </c>
    </row>
    <row r="111" spans="1:6" x14ac:dyDescent="0.25">
      <c r="A111" s="13">
        <v>110</v>
      </c>
      <c r="B111" s="21">
        <f>+CotProveedor!A115</f>
        <v>0</v>
      </c>
      <c r="C111" s="5">
        <f>CotProveedor!B115</f>
        <v>0</v>
      </c>
      <c r="D111" s="6">
        <f>+CotProveedor!C115</f>
        <v>0</v>
      </c>
      <c r="E111" s="7">
        <f>+CotProveedor!I115</f>
        <v>0</v>
      </c>
      <c r="F111" s="7">
        <f t="shared" si="1"/>
        <v>0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1526d5c-c663-4816-892d-34ef6aee7da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F50ECFB0A52B141A094FCB318181D05" ma:contentTypeVersion="6" ma:contentTypeDescription="Crear nuevo documento." ma:contentTypeScope="" ma:versionID="37382c607fdb5171cc4f71c4a1691a25">
  <xsd:schema xmlns:xsd="http://www.w3.org/2001/XMLSchema" xmlns:xs="http://www.w3.org/2001/XMLSchema" xmlns:p="http://schemas.microsoft.com/office/2006/metadata/properties" xmlns:ns3="c1526d5c-c663-4816-892d-34ef6aee7da4" targetNamespace="http://schemas.microsoft.com/office/2006/metadata/properties" ma:root="true" ma:fieldsID="90ecef51d2c8c00cd58625af63d2e7ad" ns3:_="">
    <xsd:import namespace="c1526d5c-c663-4816-892d-34ef6aee7da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526d5c-c663-4816-892d-34ef6aee7d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scriptIds xmlns="http://schemas.microsoft.com/office/extensibility/maker/v1.0" id="script-ids-node-id">
  <scriptId id="ms-officescript%3A%2F%2Fonedrive_business_itemlink%2F01DXJ5AIZKCB4CFL64ORFI3RGNQKIMRD56:ms-officescript%3A%2F%2Fonedrive_business_sharinglink%2Fu!aHR0cHM6Ly9kYXNpY3NhLW15LnNoYXJlcG9pbnQuY29tLzp1Oi9nL3BlcnNvbmFsL2p1YW5fbWFfZGFzaWNzYV9vbm1pY3Jvc29mdF9jb20vRVNvUWVDS3YzSFJLamNUTmdwRElqNzRCeWRMUW0xRjkzcE51bW1PdXRwRlJYZw"/>
</scriptIds>
</file>

<file path=customXml/itemProps1.xml><?xml version="1.0" encoding="utf-8"?>
<ds:datastoreItem xmlns:ds="http://schemas.openxmlformats.org/officeDocument/2006/customXml" ds:itemID="{DE78366E-CA3D-4908-9F01-2D366D36865B}">
  <ds:schemaRefs>
    <ds:schemaRef ds:uri="c1526d5c-c663-4816-892d-34ef6aee7da4"/>
    <ds:schemaRef ds:uri="http://schemas.openxmlformats.org/package/2006/metadata/core-properties"/>
    <ds:schemaRef ds:uri="http://purl.org/dc/dcmitype/"/>
    <ds:schemaRef ds:uri="http://purl.org/dc/terms/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AE5D5057-7467-428E-9763-7E3C20747E2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BD84267-FEE2-4133-943E-F1D03E5BAE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1526d5c-c663-4816-892d-34ef6aee7d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4BDAAF0D-0107-4A80-9323-C40076F0A59E}">
  <ds:schemaRefs>
    <ds:schemaRef ds:uri="http://schemas.microsoft.com/office/extensibility/maker/v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CotProveedor</vt:lpstr>
      <vt:lpstr>Cot</vt:lpstr>
      <vt:lpstr>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Tapia</dc:creator>
  <cp:lastModifiedBy>Emmanuel Campos</cp:lastModifiedBy>
  <dcterms:created xsi:type="dcterms:W3CDTF">2024-07-02T22:30:52Z</dcterms:created>
  <dcterms:modified xsi:type="dcterms:W3CDTF">2026-05-23T16:16:37Z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0x010100CF50ECFB0A52B141A094FCB318181D05</vt:lpwstr>
  </property>
</Properties>
</file>